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9B5D3842-AB8B-4FCD-9AB7-E74BDBC9C5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Requirements" sheetId="2" r:id="rId2"/>
    <sheet name="Security Questionnaire" sheetId="3" r:id="rId3"/>
    <sheet name="Pricing" sheetId="4" r:id="rId4"/>
    <sheet name="Volumes &amp; Assumptions" sheetId="5" r:id="rId5"/>
    <sheet name="Implementation Plan" sheetId="6" r:id="rId6"/>
    <sheet name="Risks &amp; Assumptions" sheetId="7" r:id="rId7"/>
    <sheet name="Clarifications" sheetId="8" r:id="rId8"/>
    <sheet name="Evaluation" sheetId="9" r:id="rId9"/>
  </sheets>
  <definedNames>
    <definedName name="_xlnm._FilterDatabase" localSheetId="1" hidden="1">Requirements!$A$3:$J$23</definedName>
    <definedName name="_xlnm._FilterDatabase" localSheetId="2" hidden="1">'Security Questionnaire'!$A$3:$J$15</definedName>
    <definedName name="_xlnm._FilterDatabase" localSheetId="3" hidden="1">Pricing!$A$3:$J$13</definedName>
    <definedName name="_xlnm._FilterDatabase" localSheetId="4" hidden="1">'Volumes &amp; Assumptions'!$A$3:$J$10</definedName>
    <definedName name="_xlnm._FilterDatabase" localSheetId="5" hidden="1">'Implementation Plan'!$A$3:$J$11</definedName>
    <definedName name="_xlnm._FilterDatabase" localSheetId="6" hidden="1">'Risks &amp; Assumptions'!$A$3:$J$17</definedName>
    <definedName name="_xlnm._FilterDatabase" localSheetId="7" hidden="1">Clarifications!$A$3:$J$18</definedName>
    <definedName name="_xlnm._FilterDatabase" localSheetId="8" hidden="1">Evaluation!$A$3:$J$8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" l="1"/>
  <c r="J8" i="9"/>
  <c r="F8" i="9"/>
  <c r="J7" i="9"/>
  <c r="F7" i="9"/>
  <c r="J6" i="9"/>
  <c r="F6" i="9"/>
  <c r="J5" i="9"/>
  <c r="F5" i="9"/>
  <c r="J4" i="9"/>
  <c r="J9" i="9" s="1"/>
  <c r="F4" i="9"/>
  <c r="F9" i="9" s="1"/>
  <c r="G13" i="4"/>
  <c r="G12" i="4"/>
  <c r="G11" i="4"/>
  <c r="G10" i="4"/>
  <c r="G9" i="4"/>
  <c r="I8" i="4"/>
  <c r="H8" i="4"/>
  <c r="G8" i="4"/>
  <c r="J8" i="4" s="1"/>
  <c r="I7" i="4"/>
  <c r="H7" i="4"/>
  <c r="G7" i="4"/>
  <c r="J7" i="4" s="1"/>
  <c r="I6" i="4"/>
  <c r="H6" i="4"/>
  <c r="G6" i="4"/>
  <c r="J6" i="4" s="1"/>
  <c r="I5" i="4"/>
  <c r="H5" i="4"/>
  <c r="G5" i="4"/>
  <c r="J5" i="4" s="1"/>
  <c r="I4" i="4"/>
  <c r="H4" i="4"/>
  <c r="G4" i="4"/>
  <c r="H13" i="4" l="1"/>
  <c r="H12" i="4"/>
  <c r="H11" i="4"/>
  <c r="H10" i="4"/>
  <c r="H9" i="4"/>
  <c r="G14" i="4"/>
  <c r="J4" i="4"/>
  <c r="H14" i="4" l="1"/>
  <c r="I9" i="4"/>
  <c r="I13" i="4"/>
  <c r="J13" i="4"/>
  <c r="I12" i="4"/>
  <c r="J12" i="4"/>
  <c r="I11" i="4"/>
  <c r="J11" i="4"/>
  <c r="I10" i="4"/>
  <c r="J10" i="4"/>
  <c r="J9" i="4" l="1"/>
  <c r="J14" i="4" s="1"/>
  <c r="I14" i="4"/>
</calcChain>
</file>

<file path=xl/sharedStrings.xml><?xml version="1.0" encoding="utf-8"?>
<sst xmlns="http://schemas.openxmlformats.org/spreadsheetml/2006/main" count="455" uniqueCount="349">
  <si>
    <t>Northstar RFP Exhibits</t>
  </si>
  <si>
    <t>Complete the yellow supplier-input cells. Grey cells are client-provided; calculated cells are black.</t>
  </si>
  <si>
    <t>RFP reference</t>
  </si>
  <si>
    <t>NSR-2026-AI-014</t>
  </si>
  <si>
    <t>Opportunity</t>
  </si>
  <si>
    <t>AI-Enabled Customer Operations Transformation</t>
  </si>
  <si>
    <t>Client</t>
  </si>
  <si>
    <t>Northstar Retail Group (fictional)</t>
  </si>
  <si>
    <t>Response deadline</t>
  </si>
  <si>
    <t>30 November 2026</t>
  </si>
  <si>
    <t>Currency</t>
  </si>
  <si>
    <t>GBP</t>
  </si>
  <si>
    <t>Workbook status</t>
  </si>
  <si>
    <t>Synthetic public demo</t>
  </si>
  <si>
    <t>Response convention</t>
  </si>
  <si>
    <t>Comply / Partially Comply / Do Not Comply / Not Applicable</t>
  </si>
  <si>
    <t>Mandatory items</t>
  </si>
  <si>
    <t>Rows marked Yes must be fully answered</t>
  </si>
  <si>
    <t>Evidence</t>
  </si>
  <si>
    <t>Use Source / Evidence fields to reference proposal sections or product documentation</t>
  </si>
  <si>
    <t>Pricing</t>
  </si>
  <si>
    <t>Complete quantity, unit, unit price and assumptions; totals calculate automatically</t>
  </si>
  <si>
    <t>Important</t>
  </si>
  <si>
    <t>All organisations, people, numbers and platforms in this workbook are fictional.</t>
  </si>
  <si>
    <t>Exhibit A | Requirements</t>
  </si>
  <si>
    <t>Respond to each requirement and provide concise evidence.</t>
  </si>
  <si>
    <t>ID</t>
  </si>
  <si>
    <t>Category</t>
  </si>
  <si>
    <t>Requirement</t>
  </si>
  <si>
    <t>Priority</t>
  </si>
  <si>
    <t>Mandatory</t>
  </si>
  <si>
    <t>Supplier Response</t>
  </si>
  <si>
    <t>Response Detail</t>
  </si>
  <si>
    <t>Evidence / Proposal Ref</t>
  </si>
  <si>
    <t>Gap / Roadmap</t>
  </si>
  <si>
    <t>Comments</t>
  </si>
  <si>
    <t>F-001</t>
  </si>
  <si>
    <t>Agent Assist</t>
  </si>
  <si>
    <t>Provide grounded answer suggestions using approved enterprise knowledge.</t>
  </si>
  <si>
    <t>High</t>
  </si>
  <si>
    <t>Yes</t>
  </si>
  <si>
    <t>F-002</t>
  </si>
  <si>
    <t>Generate editable interaction summaries and disposition recommendations.</t>
  </si>
  <si>
    <t>F-003</t>
  </si>
  <si>
    <t>Knowledge</t>
  </si>
  <si>
    <t>Return source citations and enforce source-level access permissions.</t>
  </si>
  <si>
    <t>F-004</t>
  </si>
  <si>
    <t>Support content freshness, owner, expiry and feedback workflows.</t>
  </si>
  <si>
    <t>Medium</t>
  </si>
  <si>
    <t>No</t>
  </si>
  <si>
    <t>F-005</t>
  </si>
  <si>
    <t>Self-Service</t>
  </si>
  <si>
    <t>Support authenticated and unauthenticated conversational journeys.</t>
  </si>
  <si>
    <t>F-006</t>
  </si>
  <si>
    <t>Escalate to a human with transcript, intent and collected context.</t>
  </si>
  <si>
    <t>F-007</t>
  </si>
  <si>
    <t>Quality</t>
  </si>
  <si>
    <t>Evaluate interactions against configurable quality criteria.</t>
  </si>
  <si>
    <t>F-008</t>
  </si>
  <si>
    <t>Analytics</t>
  </si>
  <si>
    <t>Expose operational, adoption and outcome metrics.</t>
  </si>
  <si>
    <t>I-001</t>
  </si>
  <si>
    <t>Integration</t>
  </si>
  <si>
    <t>Integrate with Dynamics 365 Customer Service through supported APIs.</t>
  </si>
  <si>
    <t>I-002</t>
  </si>
  <si>
    <t>Integrate with Genesys Cloud CX for interaction context and hand-off.</t>
  </si>
  <si>
    <t>I-003</t>
  </si>
  <si>
    <t>Support event and batch integration with Microsoft Fabric.</t>
  </si>
  <si>
    <t>D-001</t>
  </si>
  <si>
    <t>Data</t>
  </si>
  <si>
    <t>Support UK data residency for production customer content.</t>
  </si>
  <si>
    <t>D-002</t>
  </si>
  <si>
    <t>Allow configurable retention and deletion by data class.</t>
  </si>
  <si>
    <t>AI-001</t>
  </si>
  <si>
    <t>Responsible AI</t>
  </si>
  <si>
    <t>Maintain evaluation sets and version history for production AI behaviours.</t>
  </si>
  <si>
    <t>AI-002</t>
  </si>
  <si>
    <t>Provide configurable human approval for customer-impacting actions.</t>
  </si>
  <si>
    <t>AI-003</t>
  </si>
  <si>
    <t>Detect and monitor groundedness, harmful output and performance drift.</t>
  </si>
  <si>
    <t>S-001</t>
  </si>
  <si>
    <t>Service</t>
  </si>
  <si>
    <t>Provide service monitoring, incident management and support SLAs.</t>
  </si>
  <si>
    <t>S-002</t>
  </si>
  <si>
    <t>Provide exportable audit records for user, admin and AI activity.</t>
  </si>
  <si>
    <t>C-001</t>
  </si>
  <si>
    <t>Change</t>
  </si>
  <si>
    <t>Provide role-based training and adoption measurement.</t>
  </si>
  <si>
    <t>C-002</t>
  </si>
  <si>
    <t>Provide knowledge transfer and operational runbooks before transition.</t>
  </si>
  <si>
    <t>Exhibit B | Security Questionnaire</t>
  </si>
  <si>
    <t>Provide clear answers and reference available assurance evidence.</t>
  </si>
  <si>
    <t>Domain</t>
  </si>
  <si>
    <t>Question</t>
  </si>
  <si>
    <t>Supplier Answer</t>
  </si>
  <si>
    <t>Evidence / Certification</t>
  </si>
  <si>
    <t>Exception / Remediation</t>
  </si>
  <si>
    <t>Owner</t>
  </si>
  <si>
    <t>Status</t>
  </si>
  <si>
    <t>Reviewer Notes</t>
  </si>
  <si>
    <t>SEC-001</t>
  </si>
  <si>
    <t>Identity</t>
  </si>
  <si>
    <t>Does the service support SAML/OIDC SSO and Microsoft Entra ID integration?</t>
  </si>
  <si>
    <t>SEC-002</t>
  </si>
  <si>
    <t>Access</t>
  </si>
  <si>
    <t>Describe role-based access and privileged administration controls.</t>
  </si>
  <si>
    <t>SEC-003</t>
  </si>
  <si>
    <t>Encryption</t>
  </si>
  <si>
    <t>Confirm encryption in transit and at rest, including key-management options.</t>
  </si>
  <si>
    <t>SEC-004</t>
  </si>
  <si>
    <t>Audit</t>
  </si>
  <si>
    <t>Describe audit logging, retention and export capabilities.</t>
  </si>
  <si>
    <t>SEC-005</t>
  </si>
  <si>
    <t>Data Protection</t>
  </si>
  <si>
    <t>Describe data location, subprocessors and cross-border transfer controls.</t>
  </si>
  <si>
    <t>SEC-006</t>
  </si>
  <si>
    <t>Privacy</t>
  </si>
  <si>
    <t>Explain support for access, deletion and retention obligations.</t>
  </si>
  <si>
    <t>SEC-007</t>
  </si>
  <si>
    <t>AI Data Use</t>
  </si>
  <si>
    <t>Confirm whether client data is used to train shared or foundation models.</t>
  </si>
  <si>
    <t>SEC-008</t>
  </si>
  <si>
    <t>Secure SDLC</t>
  </si>
  <si>
    <t>Describe vulnerability management, penetration testing and release controls.</t>
  </si>
  <si>
    <t>SEC-009</t>
  </si>
  <si>
    <t>Resilience</t>
  </si>
  <si>
    <t>State target RTO, RPO, backup approach and resilience testing frequency.</t>
  </si>
  <si>
    <t>SEC-010</t>
  </si>
  <si>
    <t>Incident</t>
  </si>
  <si>
    <t>Describe security incident notification and response procedures.</t>
  </si>
  <si>
    <t>SEC-011</t>
  </si>
  <si>
    <t>Assurance</t>
  </si>
  <si>
    <t>List applicable third-party assurance reports or certifications.</t>
  </si>
  <si>
    <t>SEC-012</t>
  </si>
  <si>
    <t>Environment</t>
  </si>
  <si>
    <t>Confirm separation of development, test and production environments.</t>
  </si>
  <si>
    <t>Exhibit C | Pricing</t>
  </si>
  <si>
    <t>Enter blue-font inputs. Extended totals and five-year totals calculate automatically.</t>
  </si>
  <si>
    <t>Cost Category</t>
  </si>
  <si>
    <t>Item</t>
  </si>
  <si>
    <t>Unit</t>
  </si>
  <si>
    <t>Quantity</t>
  </si>
  <si>
    <t>Unit Price (£)</t>
  </si>
  <si>
    <t>Year 1 (£)</t>
  </si>
  <si>
    <t>Year 2 (£)</t>
  </si>
  <si>
    <t>Year 3 (£)</t>
  </si>
  <si>
    <t>5-Year Total (£)</t>
  </si>
  <si>
    <t>P-001</t>
  </si>
  <si>
    <t>Implementation</t>
  </si>
  <si>
    <t>Discovery and service design</t>
  </si>
  <si>
    <t>Fixed fee</t>
  </si>
  <si>
    <t>P-002</t>
  </si>
  <si>
    <t>Solution design and architecture</t>
  </si>
  <si>
    <t>P-003</t>
  </si>
  <si>
    <t>Build and integration</t>
  </si>
  <si>
    <t>P-004</t>
  </si>
  <si>
    <t>Pilot deployment</t>
  </si>
  <si>
    <t>P-005</t>
  </si>
  <si>
    <t>Training and change support</t>
  </si>
  <si>
    <t>P-006</t>
  </si>
  <si>
    <t>Subscription</t>
  </si>
  <si>
    <t>Agent-assist user licence</t>
  </si>
  <si>
    <t>User / year</t>
  </si>
  <si>
    <t>P-007</t>
  </si>
  <si>
    <t>Customer self-service platform</t>
  </si>
  <si>
    <t>Year</t>
  </si>
  <si>
    <t>P-008</t>
  </si>
  <si>
    <t>Usage</t>
  </si>
  <si>
    <t>AI processing allowance</t>
  </si>
  <si>
    <t>1m interactions</t>
  </si>
  <si>
    <t>P-009</t>
  </si>
  <si>
    <t>Managed service and optimisation</t>
  </si>
  <si>
    <t>P-010</t>
  </si>
  <si>
    <t>Optional</t>
  </si>
  <si>
    <t>Additional use-case sprint</t>
  </si>
  <si>
    <t>Sprint</t>
  </si>
  <si>
    <t>TOTAL</t>
  </si>
  <si>
    <t>Volumes &amp; Commercial Assumptions</t>
  </si>
  <si>
    <t>Client-provided synthetic baseline for comparable pricing.</t>
  </si>
  <si>
    <t>Metric</t>
  </si>
  <si>
    <t>Baseline</t>
  </si>
  <si>
    <t>Growth / Change</t>
  </si>
  <si>
    <t>Pricing Treatment</t>
  </si>
  <si>
    <t>Supplier Assumption</t>
  </si>
  <si>
    <t>Source Note</t>
  </si>
  <si>
    <t>V-001</t>
  </si>
  <si>
    <t>Named contact-centre agents</t>
  </si>
  <si>
    <t>users</t>
  </si>
  <si>
    <t>5% annually</t>
  </si>
  <si>
    <t>Licence baseline</t>
  </si>
  <si>
    <t>Synthetic client assumption</t>
  </si>
  <si>
    <t>V-002</t>
  </si>
  <si>
    <t>Annual customer interactions</t>
  </si>
  <si>
    <t>interactions</t>
  </si>
  <si>
    <t>8% annually</t>
  </si>
  <si>
    <t>Usage baseline</t>
  </si>
  <si>
    <t>V-003</t>
  </si>
  <si>
    <t>Concurrent agent peak</t>
  </si>
  <si>
    <t>Stable</t>
  </si>
  <si>
    <t>Capacity sizing</t>
  </si>
  <si>
    <t>V-004</t>
  </si>
  <si>
    <t>Knowledge documents</t>
  </si>
  <si>
    <t>documents</t>
  </si>
  <si>
    <t>10% annually</t>
  </si>
  <si>
    <t>Ingestion sizing</t>
  </si>
  <si>
    <t>V-005</t>
  </si>
  <si>
    <t>Initial channels</t>
  </si>
  <si>
    <t>channels</t>
  </si>
  <si>
    <t>Voice, email, web chat</t>
  </si>
  <si>
    <t>Scope baseline</t>
  </si>
  <si>
    <t>V-006</t>
  </si>
  <si>
    <t>Initial AI use cases</t>
  </si>
  <si>
    <t>use cases</t>
  </si>
  <si>
    <t>2 additions annually</t>
  </si>
  <si>
    <t>Delivery baseline</t>
  </si>
  <si>
    <t>V-007</t>
  </si>
  <si>
    <t>Production data retention</t>
  </si>
  <si>
    <t>months</t>
  </si>
  <si>
    <t>Configurable</t>
  </si>
  <si>
    <t>Storage baseline</t>
  </si>
  <si>
    <t>Implementation Plan</t>
  </si>
  <si>
    <t>Propose dates, dependencies and acceptance evidence.</t>
  </si>
  <si>
    <t>Phase</t>
  </si>
  <si>
    <t>Milestone / Deliverable</t>
  </si>
  <si>
    <t>Target Start</t>
  </si>
  <si>
    <t>Target Finish</t>
  </si>
  <si>
    <t>Supplier Owner</t>
  </si>
  <si>
    <t>Client Owner</t>
  </si>
  <si>
    <t>Dependencies</t>
  </si>
  <si>
    <t>Acceptance Evidence</t>
  </si>
  <si>
    <t>M-001</t>
  </si>
  <si>
    <t>Mobilise</t>
  </si>
  <si>
    <t>Kick-off and governance established</t>
  </si>
  <si>
    <t>11 Jan 2027</t>
  </si>
  <si>
    <t>15 Jan 2027</t>
  </si>
  <si>
    <t>M-002</t>
  </si>
  <si>
    <t>Discover</t>
  </si>
  <si>
    <t>Validated requirements and baseline</t>
  </si>
  <si>
    <t>18 Jan 2027</t>
  </si>
  <si>
    <t>5 Feb 2027</t>
  </si>
  <si>
    <t>M-003</t>
  </si>
  <si>
    <t>Design</t>
  </si>
  <si>
    <t>Target architecture and journeys approved</t>
  </si>
  <si>
    <t>8 Feb 2027</t>
  </si>
  <si>
    <t>5 Mar 2027</t>
  </si>
  <si>
    <t>M-004</t>
  </si>
  <si>
    <t>Prototype</t>
  </si>
  <si>
    <t>Prototype and evaluation set complete</t>
  </si>
  <si>
    <t>8 Mar 2027</t>
  </si>
  <si>
    <t>2 Apr 2027</t>
  </si>
  <si>
    <t>M-005</t>
  </si>
  <si>
    <t>Pilot</t>
  </si>
  <si>
    <t>Pilot released to controlled user group</t>
  </si>
  <si>
    <t>5 Apr 2027</t>
  </si>
  <si>
    <t>28 May 2027</t>
  </si>
  <si>
    <t>M-006</t>
  </si>
  <si>
    <t>Pilot acceptance decision</t>
  </si>
  <si>
    <t>31 May 2027</t>
  </si>
  <si>
    <t>11 Jun 2027</t>
  </si>
  <si>
    <t>M-007</t>
  </si>
  <si>
    <t>Scale</t>
  </si>
  <si>
    <t>Wave 1 production rollout</t>
  </si>
  <si>
    <t>14 Jun 2027</t>
  </si>
  <si>
    <t>20 Aug 2027</t>
  </si>
  <si>
    <t>M-008</t>
  </si>
  <si>
    <t>Transition</t>
  </si>
  <si>
    <t>Service acceptance and handover</t>
  </si>
  <si>
    <t>23 Aug 2027</t>
  </si>
  <si>
    <t>10 Sep 2027</t>
  </si>
  <si>
    <t>Risks &amp; Assumptions</t>
  </si>
  <si>
    <t>Record material bid assumptions and risks, not generic boilerplate.</t>
  </si>
  <si>
    <t>Type</t>
  </si>
  <si>
    <t>Statement</t>
  </si>
  <si>
    <t>Probability</t>
  </si>
  <si>
    <t>Impact</t>
  </si>
  <si>
    <t>Schedule Impact</t>
  </si>
  <si>
    <t>Cost Impact (£)</t>
  </si>
  <si>
    <t>Mitigation / Validation</t>
  </si>
  <si>
    <t>RA-001</t>
  </si>
  <si>
    <t>Risk</t>
  </si>
  <si>
    <t>Knowledge content may lack clear ownership and review dates.</t>
  </si>
  <si>
    <t>Run content readiness assessment and agree accountable owners.</t>
  </si>
  <si>
    <t>Open</t>
  </si>
  <si>
    <t>RA-002</t>
  </si>
  <si>
    <t>Integration sandbox access may not be available at mobilisation.</t>
  </si>
  <si>
    <t>Confirm access plan before contract signature.</t>
  </si>
  <si>
    <t>RA-003</t>
  </si>
  <si>
    <t>Assumption</t>
  </si>
  <si>
    <t>Northstar will provide five subject-matter experts for discovery.</t>
  </si>
  <si>
    <t>N/A</t>
  </si>
  <si>
    <t>Validate named availability during mobilisation.</t>
  </si>
  <si>
    <t>RA-004</t>
  </si>
  <si>
    <t>Existing API entitlements cover pilot integration volumes.</t>
  </si>
  <si>
    <t>Validate licences and rate limits during discovery.</t>
  </si>
  <si>
    <t>RA-005</t>
  </si>
  <si>
    <t>RA-006</t>
  </si>
  <si>
    <t>RA-007</t>
  </si>
  <si>
    <t>RA-008</t>
  </si>
  <si>
    <t>RA-009</t>
  </si>
  <si>
    <t>RA-010</t>
  </si>
  <si>
    <t>RA-011</t>
  </si>
  <si>
    <t>RA-012</t>
  </si>
  <si>
    <t>RA-013</t>
  </si>
  <si>
    <t>RA-014</t>
  </si>
  <si>
    <t>Clarifications Log</t>
  </si>
  <si>
    <t>Enter one question per row. Client responses shown are fictional demo examples.</t>
  </si>
  <si>
    <t>Supplier</t>
  </si>
  <si>
    <t>RFP Reference</t>
  </si>
  <si>
    <t>Date Raised</t>
  </si>
  <si>
    <t>Client Response</t>
  </si>
  <si>
    <t>Response Date</t>
  </si>
  <si>
    <t>Impact on Bid</t>
  </si>
  <si>
    <t>Q-001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</si>
  <si>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</si>
  <si>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</si>
  <si>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</si>
  <si>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</si>
  <si>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</si>
  <si>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</si>
  <si>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</si>
  <si>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</si>
  <si>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</si>
  <si>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Q-011</t>
  </si>
  <si>
    <t>Q-012</t>
  </si>
  <si>
    <t>Q-013</t>
  </si>
  <si>
    <t>Q-014</t>
  </si>
  <si>
    <t>Q-015</t>
  </si>
  <si>
    <t>Illustrative Evaluation Model</t>
  </si>
  <si>
    <t>Internal demo scoring sheet. Score each criterion from 0 to 5; weighted score calculates automatically.</t>
  </si>
  <si>
    <t>Criterion ID</t>
  </si>
  <si>
    <t>Criterion</t>
  </si>
  <si>
    <t>Weight</t>
  </si>
  <si>
    <t>Minimum Score</t>
  </si>
  <si>
    <t>Supplier Score (0-5)</t>
  </si>
  <si>
    <t>Weighted Score</t>
  </si>
  <si>
    <t>Evaluator Rationale</t>
  </si>
  <si>
    <t>Evidence Reference</t>
  </si>
  <si>
    <t>Moderated Score</t>
  </si>
  <si>
    <t>Final Weighted Score</t>
  </si>
  <si>
    <t>E-001</t>
  </si>
  <si>
    <t>Functional and technical fit</t>
  </si>
  <si>
    <t>E-002</t>
  </si>
  <si>
    <t>Delivery approach and team</t>
  </si>
  <si>
    <t>E-003</t>
  </si>
  <si>
    <t>Responsible AI, security and data protection</t>
  </si>
  <si>
    <t>E-004</t>
  </si>
  <si>
    <t>Commercial value</t>
  </si>
  <si>
    <t>E-005</t>
  </si>
  <si>
    <t>Relevant experience and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</si>
</sst>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;[Red]\(\£#,##0\);\-"/>
    <numFmt numFmtId="165" formatCode="0.0%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5" fillId="5" borderId="0" xfId="0" applyNumberFormat="1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164" fontId="6" fillId="6" borderId="0" xfId="0" applyNumberFormat="1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5" fontId="6" fillId="6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78" customWidth="1"/>
  </cols>
  <sheetData>
    <row r="1" spans="1:10" ht="30" customHeight="1">
      <c r="A1" s="16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7.95" customHeight="1">
      <c r="A2" s="17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6" customHeight="1">
      <c r="A4" s="2" t="s">
        <v>2</v>
      </c>
      <c r="B4" s="3" t="s">
        <v>3</v>
      </c>
    </row>
    <row r="5" spans="1:10" ht="36" customHeight="1">
      <c r="A5" s="2" t="s">
        <v>4</v>
      </c>
      <c r="B5" s="3" t="s">
        <v>5</v>
      </c>
    </row>
    <row r="6" spans="1:10" ht="36" customHeight="1">
      <c r="A6" s="2" t="s">
        <v>6</v>
      </c>
      <c r="B6" s="3" t="s">
        <v>7</v>
      </c>
    </row>
    <row r="7" spans="1:10" ht="36" customHeight="1">
      <c r="A7" s="2" t="s">
        <v>8</v>
      </c>
      <c r="B7" s="3" t="s">
        <v>9</v>
      </c>
    </row>
    <row r="8" spans="1:10" ht="36" customHeight="1">
      <c r="A8" s="2" t="s">
        <v>10</v>
      </c>
      <c r="B8" s="3" t="s">
        <v>11</v>
      </c>
    </row>
    <row r="9" spans="1:10" ht="36" customHeight="1">
      <c r="A9" s="2" t="s">
        <v>12</v>
      </c>
      <c r="B9" s="3" t="s">
        <v>13</v>
      </c>
    </row>
    <row r="10" spans="1:10" ht="36" customHeight="1">
      <c r="A10" s="2"/>
      <c r="B10" s="3"/>
    </row>
    <row r="11" spans="1:10" ht="36" customHeight="1">
      <c r="A11" s="2" t="s">
        <v>14</v>
      </c>
      <c r="B11" s="3" t="s">
        <v>15</v>
      </c>
    </row>
    <row r="12" spans="1:10" ht="36" customHeight="1">
      <c r="A12" s="2" t="s">
        <v>16</v>
      </c>
      <c r="B12" s="3" t="s">
        <v>17</v>
      </c>
    </row>
    <row r="13" spans="1:10" ht="36" customHeight="1">
      <c r="A13" s="2" t="s">
        <v>18</v>
      </c>
      <c r="B13" s="3" t="s">
        <v>19</v>
      </c>
    </row>
    <row r="14" spans="1:10" ht="36" customHeight="1">
      <c r="A14" s="2" t="s">
        <v>20</v>
      </c>
      <c r="B14" s="3" t="s">
        <v>21</v>
      </c>
    </row>
    <row r="15" spans="1:10" ht="36" customHeight="1">
      <c r="A15" s="2" t="s">
        <v>22</v>
      </c>
      <c r="B15" s="3" t="s">
        <v>23</v>
      </c>
    </row>
  </sheetData>
  <mergeCells count="2">
    <mergeCell ref="A1:J1"/>
    <mergeCell ref="A2:J2"/>
  </mergeCell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8" customWidth="1"/>
    <col min="3" max="3" width="58" customWidth="1"/>
    <col min="4" max="5" width="11" customWidth="1"/>
    <col min="6" max="6" width="20" customWidth="1"/>
    <col min="7" max="7" width="45" customWidth="1"/>
    <col min="8" max="8" width="28" customWidth="1"/>
    <col min="9" max="9" width="30" customWidth="1"/>
    <col min="10" max="10" width="25" customWidth="1"/>
  </cols>
  <sheetData>
    <row r="1" spans="1:10" ht="30" customHeight="1">
      <c r="A1" s="18" t="s">
        <v>24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25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</row>
    <row r="4" spans="1:10" ht="36" customHeight="1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6"/>
      <c r="G4" s="6"/>
      <c r="H4" s="6"/>
      <c r="I4" s="6"/>
      <c r="J4" s="6"/>
    </row>
    <row r="5" spans="1:10" ht="36" customHeight="1">
      <c r="A5" s="4" t="s">
        <v>41</v>
      </c>
      <c r="B5" s="4" t="s">
        <v>37</v>
      </c>
      <c r="C5" s="4" t="s">
        <v>42</v>
      </c>
      <c r="D5" s="4" t="s">
        <v>39</v>
      </c>
      <c r="E5" s="4" t="s">
        <v>40</v>
      </c>
      <c r="F5" s="6"/>
      <c r="G5" s="6"/>
      <c r="H5" s="6"/>
      <c r="I5" s="6"/>
      <c r="J5" s="6"/>
    </row>
    <row r="6" spans="1:10" ht="36" customHeight="1">
      <c r="A6" s="4" t="s">
        <v>43</v>
      </c>
      <c r="B6" s="4" t="s">
        <v>44</v>
      </c>
      <c r="C6" s="4" t="s">
        <v>45</v>
      </c>
      <c r="D6" s="4" t="s">
        <v>39</v>
      </c>
      <c r="E6" s="4" t="s">
        <v>40</v>
      </c>
      <c r="F6" s="6"/>
      <c r="G6" s="6"/>
      <c r="H6" s="6"/>
      <c r="I6" s="6"/>
      <c r="J6" s="6"/>
    </row>
    <row r="7" spans="1:10" ht="36" customHeight="1">
      <c r="A7" s="4" t="s">
        <v>46</v>
      </c>
      <c r="B7" s="4" t="s">
        <v>44</v>
      </c>
      <c r="C7" s="4" t="s">
        <v>47</v>
      </c>
      <c r="D7" s="4" t="s">
        <v>48</v>
      </c>
      <c r="E7" s="4" t="s">
        <v>49</v>
      </c>
      <c r="F7" s="6"/>
      <c r="G7" s="6"/>
      <c r="H7" s="6"/>
      <c r="I7" s="6"/>
      <c r="J7" s="6"/>
    </row>
    <row r="8" spans="1:10" ht="36" customHeight="1">
      <c r="A8" s="4" t="s">
        <v>50</v>
      </c>
      <c r="B8" s="4" t="s">
        <v>51</v>
      </c>
      <c r="C8" s="4" t="s">
        <v>52</v>
      </c>
      <c r="D8" s="4" t="s">
        <v>39</v>
      </c>
      <c r="E8" s="4" t="s">
        <v>40</v>
      </c>
      <c r="F8" s="6"/>
      <c r="G8" s="6"/>
      <c r="H8" s="6"/>
      <c r="I8" s="6"/>
      <c r="J8" s="6"/>
    </row>
    <row r="9" spans="1:10" ht="36" customHeight="1">
      <c r="A9" s="4" t="s">
        <v>53</v>
      </c>
      <c r="B9" s="4" t="s">
        <v>51</v>
      </c>
      <c r="C9" s="4" t="s">
        <v>54</v>
      </c>
      <c r="D9" s="4" t="s">
        <v>39</v>
      </c>
      <c r="E9" s="4" t="s">
        <v>40</v>
      </c>
      <c r="F9" s="6"/>
      <c r="G9" s="6"/>
      <c r="H9" s="6"/>
      <c r="I9" s="6"/>
      <c r="J9" s="6"/>
    </row>
    <row r="10" spans="1:10" ht="36" customHeight="1">
      <c r="A10" s="4" t="s">
        <v>55</v>
      </c>
      <c r="B10" s="4" t="s">
        <v>56</v>
      </c>
      <c r="C10" s="4" t="s">
        <v>57</v>
      </c>
      <c r="D10" s="4" t="s">
        <v>48</v>
      </c>
      <c r="E10" s="4" t="s">
        <v>49</v>
      </c>
      <c r="F10" s="6"/>
      <c r="G10" s="6"/>
      <c r="H10" s="6"/>
      <c r="I10" s="6"/>
      <c r="J10" s="6"/>
    </row>
    <row r="11" spans="1:10" ht="36" customHeight="1">
      <c r="A11" s="4" t="s">
        <v>58</v>
      </c>
      <c r="B11" s="4" t="s">
        <v>59</v>
      </c>
      <c r="C11" s="4" t="s">
        <v>60</v>
      </c>
      <c r="D11" s="4" t="s">
        <v>39</v>
      </c>
      <c r="E11" s="4" t="s">
        <v>40</v>
      </c>
      <c r="F11" s="6"/>
      <c r="G11" s="6"/>
      <c r="H11" s="6"/>
      <c r="I11" s="6"/>
      <c r="J11" s="6"/>
    </row>
    <row r="12" spans="1:10" ht="36" customHeight="1">
      <c r="A12" s="4" t="s">
        <v>61</v>
      </c>
      <c r="B12" s="4" t="s">
        <v>62</v>
      </c>
      <c r="C12" s="4" t="s">
        <v>63</v>
      </c>
      <c r="D12" s="4" t="s">
        <v>39</v>
      </c>
      <c r="E12" s="4" t="s">
        <v>40</v>
      </c>
      <c r="F12" s="6"/>
      <c r="G12" s="6"/>
      <c r="H12" s="6"/>
      <c r="I12" s="6"/>
      <c r="J12" s="6"/>
    </row>
    <row r="13" spans="1:10" ht="36" customHeight="1">
      <c r="A13" s="4" t="s">
        <v>64</v>
      </c>
      <c r="B13" s="4" t="s">
        <v>62</v>
      </c>
      <c r="C13" s="4" t="s">
        <v>65</v>
      </c>
      <c r="D13" s="4" t="s">
        <v>39</v>
      </c>
      <c r="E13" s="4" t="s">
        <v>40</v>
      </c>
      <c r="F13" s="6"/>
      <c r="G13" s="6"/>
      <c r="H13" s="6"/>
      <c r="I13" s="6"/>
      <c r="J13" s="6"/>
    </row>
    <row r="14" spans="1:10" ht="36" customHeight="1">
      <c r="A14" s="4" t="s">
        <v>66</v>
      </c>
      <c r="B14" s="4" t="s">
        <v>62</v>
      </c>
      <c r="C14" s="4" t="s">
        <v>67</v>
      </c>
      <c r="D14" s="4" t="s">
        <v>48</v>
      </c>
      <c r="E14" s="4" t="s">
        <v>49</v>
      </c>
      <c r="F14" s="6"/>
      <c r="G14" s="6"/>
      <c r="H14" s="6"/>
      <c r="I14" s="6"/>
      <c r="J14" s="6"/>
    </row>
    <row r="15" spans="1:10" ht="36" customHeight="1">
      <c r="A15" s="4" t="s">
        <v>68</v>
      </c>
      <c r="B15" s="4" t="s">
        <v>69</v>
      </c>
      <c r="C15" s="4" t="s">
        <v>70</v>
      </c>
      <c r="D15" s="4" t="s">
        <v>39</v>
      </c>
      <c r="E15" s="4" t="s">
        <v>40</v>
      </c>
      <c r="F15" s="6"/>
      <c r="G15" s="6"/>
      <c r="H15" s="6"/>
      <c r="I15" s="6"/>
      <c r="J15" s="6"/>
    </row>
    <row r="16" spans="1:10" ht="36" customHeight="1">
      <c r="A16" s="4" t="s">
        <v>71</v>
      </c>
      <c r="B16" s="4" t="s">
        <v>69</v>
      </c>
      <c r="C16" s="4" t="s">
        <v>72</v>
      </c>
      <c r="D16" s="4" t="s">
        <v>39</v>
      </c>
      <c r="E16" s="4" t="s">
        <v>40</v>
      </c>
      <c r="F16" s="6"/>
      <c r="G16" s="6"/>
      <c r="H16" s="6"/>
      <c r="I16" s="6"/>
      <c r="J16" s="6"/>
    </row>
    <row r="17" spans="1:10" ht="36" customHeight="1">
      <c r="A17" s="4" t="s">
        <v>73</v>
      </c>
      <c r="B17" s="4" t="s">
        <v>74</v>
      </c>
      <c r="C17" s="4" t="s">
        <v>75</v>
      </c>
      <c r="D17" s="4" t="s">
        <v>39</v>
      </c>
      <c r="E17" s="4" t="s">
        <v>40</v>
      </c>
      <c r="F17" s="6"/>
      <c r="G17" s="6"/>
      <c r="H17" s="6"/>
      <c r="I17" s="6"/>
      <c r="J17" s="6"/>
    </row>
    <row r="18" spans="1:10" ht="36" customHeight="1">
      <c r="A18" s="4" t="s">
        <v>76</v>
      </c>
      <c r="B18" s="4" t="s">
        <v>74</v>
      </c>
      <c r="C18" s="4" t="s">
        <v>77</v>
      </c>
      <c r="D18" s="4" t="s">
        <v>39</v>
      </c>
      <c r="E18" s="4" t="s">
        <v>40</v>
      </c>
      <c r="F18" s="6"/>
      <c r="G18" s="6"/>
      <c r="H18" s="6"/>
      <c r="I18" s="6"/>
      <c r="J18" s="6"/>
    </row>
    <row r="19" spans="1:10" ht="36" customHeight="1">
      <c r="A19" s="4" t="s">
        <v>78</v>
      </c>
      <c r="B19" s="4" t="s">
        <v>74</v>
      </c>
      <c r="C19" s="4" t="s">
        <v>79</v>
      </c>
      <c r="D19" s="4" t="s">
        <v>39</v>
      </c>
      <c r="E19" s="4" t="s">
        <v>40</v>
      </c>
      <c r="F19" s="6"/>
      <c r="G19" s="6"/>
      <c r="H19" s="6"/>
      <c r="I19" s="6"/>
      <c r="J19" s="6"/>
    </row>
    <row r="20" spans="1:10" ht="36" customHeight="1">
      <c r="A20" s="4" t="s">
        <v>80</v>
      </c>
      <c r="B20" s="4" t="s">
        <v>81</v>
      </c>
      <c r="C20" s="4" t="s">
        <v>82</v>
      </c>
      <c r="D20" s="4" t="s">
        <v>39</v>
      </c>
      <c r="E20" s="4" t="s">
        <v>40</v>
      </c>
      <c r="F20" s="6"/>
      <c r="G20" s="6"/>
      <c r="H20" s="6"/>
      <c r="I20" s="6"/>
      <c r="J20" s="6"/>
    </row>
    <row r="21" spans="1:10" ht="36" customHeight="1">
      <c r="A21" s="4" t="s">
        <v>83</v>
      </c>
      <c r="B21" s="4" t="s">
        <v>81</v>
      </c>
      <c r="C21" s="4" t="s">
        <v>84</v>
      </c>
      <c r="D21" s="4" t="s">
        <v>39</v>
      </c>
      <c r="E21" s="4" t="s">
        <v>40</v>
      </c>
      <c r="F21" s="6"/>
      <c r="G21" s="6"/>
      <c r="H21" s="6"/>
      <c r="I21" s="6"/>
      <c r="J21" s="6"/>
    </row>
    <row r="22" spans="1:10" ht="36" customHeight="1">
      <c r="A22" s="4" t="s">
        <v>85</v>
      </c>
      <c r="B22" s="4" t="s">
        <v>86</v>
      </c>
      <c r="C22" s="4" t="s">
        <v>87</v>
      </c>
      <c r="D22" s="4" t="s">
        <v>48</v>
      </c>
      <c r="E22" s="4" t="s">
        <v>49</v>
      </c>
      <c r="F22" s="6"/>
      <c r="G22" s="6"/>
      <c r="H22" s="6"/>
      <c r="I22" s="6"/>
      <c r="J22" s="6"/>
    </row>
    <row r="23" spans="1:10" ht="36" customHeight="1">
      <c r="A23" s="4" t="s">
        <v>88</v>
      </c>
      <c r="B23" s="4" t="s">
        <v>86</v>
      </c>
      <c r="C23" s="4" t="s">
        <v>89</v>
      </c>
      <c r="D23" s="4" t="s">
        <v>39</v>
      </c>
      <c r="E23" s="4" t="s">
        <v>40</v>
      </c>
      <c r="F23" s="6"/>
      <c r="G23" s="6"/>
      <c r="H23" s="6"/>
      <c r="I23" s="6"/>
      <c r="J23" s="6"/>
    </row>
  </sheetData>
  <autoFilter ref="A3:J23" xr:uid="{00000000-0009-0000-0000-000001000000}"/>
  <mergeCells count="2">
    <mergeCell ref="A1:J1"/>
    <mergeCell ref="A2:J2"/>
  </mergeCells>
  <dataValidations count="2">
    <dataValidation type="list" sqref="F4:F23" xr:uid="{00000000-0002-0000-0100-000000000000}">
      <formula1>"Comply,Partially Comply,Do Not Comply,Not Applicable"</formula1>
    </dataValidation>
    <dataValidation type="list" sqref="D4:D23" xr:uid="{00000000-0002-0000-0100-000001000000}">
      <formula1>"High,Medium,Low"</formula1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" customWidth="1"/>
    <col min="2" max="2" width="18" customWidth="1"/>
    <col min="3" max="3" width="58" customWidth="1"/>
    <col min="4" max="4" width="12" customWidth="1"/>
    <col min="5" max="5" width="42" customWidth="1"/>
    <col min="6" max="6" width="30" customWidth="1"/>
    <col min="7" max="7" width="32" customWidth="1"/>
    <col min="8" max="8" width="18" customWidth="1"/>
    <col min="9" max="9" width="16" customWidth="1"/>
    <col min="10" max="10" width="30" customWidth="1"/>
  </cols>
  <sheetData>
    <row r="1" spans="1:10" ht="30" customHeight="1">
      <c r="A1" s="18" t="s">
        <v>90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91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92</v>
      </c>
      <c r="C3" s="5" t="s">
        <v>93</v>
      </c>
      <c r="D3" s="5" t="s">
        <v>30</v>
      </c>
      <c r="E3" s="5" t="s">
        <v>94</v>
      </c>
      <c r="F3" s="5" t="s">
        <v>95</v>
      </c>
      <c r="G3" s="5" t="s">
        <v>96</v>
      </c>
      <c r="H3" s="5" t="s">
        <v>97</v>
      </c>
      <c r="I3" s="5" t="s">
        <v>98</v>
      </c>
      <c r="J3" s="5" t="s">
        <v>99</v>
      </c>
    </row>
    <row r="4" spans="1:10" ht="36" customHeight="1">
      <c r="A4" s="4" t="s">
        <v>100</v>
      </c>
      <c r="B4" s="4" t="s">
        <v>101</v>
      </c>
      <c r="C4" s="4" t="s">
        <v>102</v>
      </c>
      <c r="D4" s="4" t="s">
        <v>40</v>
      </c>
      <c r="E4" s="6"/>
      <c r="F4" s="6"/>
      <c r="G4" s="6"/>
      <c r="H4" s="6"/>
      <c r="I4" s="6"/>
      <c r="J4" s="4"/>
    </row>
    <row r="5" spans="1:10" ht="36" customHeight="1">
      <c r="A5" s="4" t="s">
        <v>103</v>
      </c>
      <c r="B5" s="4" t="s">
        <v>104</v>
      </c>
      <c r="C5" s="4" t="s">
        <v>105</v>
      </c>
      <c r="D5" s="4" t="s">
        <v>40</v>
      </c>
      <c r="E5" s="6"/>
      <c r="F5" s="6"/>
      <c r="G5" s="6"/>
      <c r="H5" s="6"/>
      <c r="I5" s="6"/>
      <c r="J5" s="4"/>
    </row>
    <row r="6" spans="1:10" ht="36" customHeight="1">
      <c r="A6" s="4" t="s">
        <v>106</v>
      </c>
      <c r="B6" s="4" t="s">
        <v>107</v>
      </c>
      <c r="C6" s="4" t="s">
        <v>108</v>
      </c>
      <c r="D6" s="4" t="s">
        <v>40</v>
      </c>
      <c r="E6" s="6"/>
      <c r="F6" s="6"/>
      <c r="G6" s="6"/>
      <c r="H6" s="6"/>
      <c r="I6" s="6"/>
      <c r="J6" s="4"/>
    </row>
    <row r="7" spans="1:10" ht="36" customHeight="1">
      <c r="A7" s="4" t="s">
        <v>109</v>
      </c>
      <c r="B7" s="4" t="s">
        <v>110</v>
      </c>
      <c r="C7" s="4" t="s">
        <v>111</v>
      </c>
      <c r="D7" s="4" t="s">
        <v>40</v>
      </c>
      <c r="E7" s="6"/>
      <c r="F7" s="6"/>
      <c r="G7" s="6"/>
      <c r="H7" s="6"/>
      <c r="I7" s="6"/>
      <c r="J7" s="4"/>
    </row>
    <row r="8" spans="1:10" ht="36" customHeight="1">
      <c r="A8" s="4" t="s">
        <v>112</v>
      </c>
      <c r="B8" s="4" t="s">
        <v>113</v>
      </c>
      <c r="C8" s="4" t="s">
        <v>114</v>
      </c>
      <c r="D8" s="4" t="s">
        <v>40</v>
      </c>
      <c r="E8" s="6"/>
      <c r="F8" s="6"/>
      <c r="G8" s="6"/>
      <c r="H8" s="6"/>
      <c r="I8" s="6"/>
      <c r="J8" s="4"/>
    </row>
    <row r="9" spans="1:10" ht="36" customHeight="1">
      <c r="A9" s="4" t="s">
        <v>115</v>
      </c>
      <c r="B9" s="4" t="s">
        <v>116</v>
      </c>
      <c r="C9" s="4" t="s">
        <v>117</v>
      </c>
      <c r="D9" s="4" t="s">
        <v>40</v>
      </c>
      <c r="E9" s="6"/>
      <c r="F9" s="6"/>
      <c r="G9" s="6"/>
      <c r="H9" s="6"/>
      <c r="I9" s="6"/>
      <c r="J9" s="4"/>
    </row>
    <row r="10" spans="1:10" ht="36" customHeight="1">
      <c r="A10" s="4" t="s">
        <v>118</v>
      </c>
      <c r="B10" s="4" t="s">
        <v>119</v>
      </c>
      <c r="C10" s="4" t="s">
        <v>120</v>
      </c>
      <c r="D10" s="4" t="s">
        <v>40</v>
      </c>
      <c r="E10" s="6"/>
      <c r="F10" s="6"/>
      <c r="G10" s="6"/>
      <c r="H10" s="6"/>
      <c r="I10" s="6"/>
      <c r="J10" s="4"/>
    </row>
    <row r="11" spans="1:10" ht="36" customHeight="1">
      <c r="A11" s="4" t="s">
        <v>121</v>
      </c>
      <c r="B11" s="4" t="s">
        <v>122</v>
      </c>
      <c r="C11" s="4" t="s">
        <v>123</v>
      </c>
      <c r="D11" s="4" t="s">
        <v>40</v>
      </c>
      <c r="E11" s="6"/>
      <c r="F11" s="6"/>
      <c r="G11" s="6"/>
      <c r="H11" s="6"/>
      <c r="I11" s="6"/>
      <c r="J11" s="4"/>
    </row>
    <row r="12" spans="1:10" ht="36" customHeight="1">
      <c r="A12" s="4" t="s">
        <v>124</v>
      </c>
      <c r="B12" s="4" t="s">
        <v>125</v>
      </c>
      <c r="C12" s="4" t="s">
        <v>126</v>
      </c>
      <c r="D12" s="4" t="s">
        <v>40</v>
      </c>
      <c r="E12" s="6"/>
      <c r="F12" s="6"/>
      <c r="G12" s="6"/>
      <c r="H12" s="6"/>
      <c r="I12" s="6"/>
      <c r="J12" s="4"/>
    </row>
    <row r="13" spans="1:10" ht="36" customHeight="1">
      <c r="A13" s="4" t="s">
        <v>127</v>
      </c>
      <c r="B13" s="4" t="s">
        <v>128</v>
      </c>
      <c r="C13" s="4" t="s">
        <v>129</v>
      </c>
      <c r="D13" s="4" t="s">
        <v>40</v>
      </c>
      <c r="E13" s="6"/>
      <c r="F13" s="6"/>
      <c r="G13" s="6"/>
      <c r="H13" s="6"/>
      <c r="I13" s="6"/>
      <c r="J13" s="4"/>
    </row>
    <row r="14" spans="1:10" ht="36" customHeight="1">
      <c r="A14" s="4" t="s">
        <v>130</v>
      </c>
      <c r="B14" s="4" t="s">
        <v>131</v>
      </c>
      <c r="C14" s="4" t="s">
        <v>132</v>
      </c>
      <c r="D14" s="4" t="s">
        <v>49</v>
      </c>
      <c r="E14" s="6"/>
      <c r="F14" s="6"/>
      <c r="G14" s="6"/>
      <c r="H14" s="6"/>
      <c r="I14" s="6"/>
      <c r="J14" s="4"/>
    </row>
    <row r="15" spans="1:10" ht="36" customHeight="1">
      <c r="A15" s="4" t="s">
        <v>133</v>
      </c>
      <c r="B15" s="4" t="s">
        <v>134</v>
      </c>
      <c r="C15" s="4" t="s">
        <v>135</v>
      </c>
      <c r="D15" s="4" t="s">
        <v>40</v>
      </c>
      <c r="E15" s="6"/>
      <c r="F15" s="6"/>
      <c r="G15" s="6"/>
      <c r="H15" s="6"/>
      <c r="I15" s="6"/>
      <c r="J15" s="4"/>
    </row>
  </sheetData>
  <autoFilter ref="A3:J15" xr:uid="{00000000-0009-0000-0000-000002000000}"/>
  <mergeCells count="2">
    <mergeCell ref="A1:J1"/>
    <mergeCell ref="A2:J2"/>
  </mergeCells>
  <dataValidations count="1">
    <dataValidation type="list" sqref="I4:I15" xr:uid="{00000000-0002-0000-0200-000000000000}">
      <formula1>"Not Started,In Progress,Complete,Exception"</formula1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8" customWidth="1"/>
    <col min="3" max="3" width="38" customWidth="1"/>
    <col min="4" max="4" width="18" customWidth="1"/>
    <col min="5" max="5" width="12" customWidth="1"/>
    <col min="6" max="9" width="16" customWidth="1"/>
    <col min="10" max="10" width="18" customWidth="1"/>
  </cols>
  <sheetData>
    <row r="1" spans="1:10" ht="30" customHeight="1">
      <c r="A1" s="18" t="s">
        <v>136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137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138</v>
      </c>
      <c r="C3" s="5" t="s">
        <v>139</v>
      </c>
      <c r="D3" s="5" t="s">
        <v>140</v>
      </c>
      <c r="E3" s="5" t="s">
        <v>141</v>
      </c>
      <c r="F3" s="5" t="s">
        <v>142</v>
      </c>
      <c r="G3" s="5" t="s">
        <v>143</v>
      </c>
      <c r="H3" s="5" t="s">
        <v>144</v>
      </c>
      <c r="I3" s="5" t="s">
        <v>145</v>
      </c>
      <c r="J3" s="5" t="s">
        <v>146</v>
      </c>
    </row>
    <row r="4" spans="1:10" ht="36" customHeight="1">
      <c r="A4" s="4" t="s">
        <v>147</v>
      </c>
      <c r="B4" s="4" t="s">
        <v>148</v>
      </c>
      <c r="C4" s="4" t="s">
        <v>149</v>
      </c>
      <c r="D4" s="4" t="s">
        <v>150</v>
      </c>
      <c r="E4" s="7">
        <v>1</v>
      </c>
      <c r="F4" s="8"/>
      <c r="G4" s="7">
        <f>E4*F4</f>
        <v>0</v>
      </c>
      <c r="H4" s="7">
        <f>IF(B4="Implementation",0,G4)</f>
        <v>0</v>
      </c>
      <c r="I4" s="7">
        <f>IF(B4="Implementation",0,H4)</f>
        <v>0</v>
      </c>
      <c r="J4" s="7">
        <f>SUM(G4:I4)+IF(B4="Implementation",0,H4*2)</f>
        <v>0</v>
      </c>
    </row>
    <row r="5" spans="1:10" ht="36" customHeight="1">
      <c r="A5" s="4" t="s">
        <v>151</v>
      </c>
      <c r="B5" s="4" t="s">
        <v>148</v>
      </c>
      <c r="C5" s="4" t="s">
        <v>152</v>
      </c>
      <c r="D5" s="4" t="s">
        <v>150</v>
      </c>
      <c r="E5" s="7">
        <v>1</v>
      </c>
      <c r="F5" s="8"/>
      <c r="G5" s="7">
        <f>E5*F5</f>
        <v>0</v>
      </c>
      <c r="H5" s="7">
        <f>IF(B5="Implementation",0,G5)</f>
        <v>0</v>
      </c>
      <c r="I5" s="7">
        <f>IF(B5="Implementation",0,H5)</f>
        <v>0</v>
      </c>
      <c r="J5" s="7">
        <f>SUM(G5:I5)+IF(B5="Implementation",0,H5*2)</f>
        <v>0</v>
      </c>
    </row>
    <row r="6" spans="1:10" ht="36" customHeight="1">
      <c r="A6" s="4" t="s">
        <v>153</v>
      </c>
      <c r="B6" s="4" t="s">
        <v>148</v>
      </c>
      <c r="C6" s="4" t="s">
        <v>154</v>
      </c>
      <c r="D6" s="4" t="s">
        <v>150</v>
      </c>
      <c r="E6" s="7">
        <v>1</v>
      </c>
      <c r="F6" s="8"/>
      <c r="G6" s="7">
        <f>E6*F6</f>
        <v>0</v>
      </c>
      <c r="H6" s="7">
        <f>IF(B6="Implementation",0,G6)</f>
        <v>0</v>
      </c>
      <c r="I6" s="7">
        <f>IF(B6="Implementation",0,H6)</f>
        <v>0</v>
      </c>
      <c r="J6" s="7">
        <f>SUM(G6:I6)+IF(B6="Implementation",0,H6*2)</f>
        <v>0</v>
      </c>
    </row>
    <row r="7" spans="1:10" ht="36" customHeight="1">
      <c r="A7" s="4" t="s">
        <v>155</v>
      </c>
      <c r="B7" s="4" t="s">
        <v>148</v>
      </c>
      <c r="C7" s="4" t="s">
        <v>156</v>
      </c>
      <c r="D7" s="4" t="s">
        <v>150</v>
      </c>
      <c r="E7" s="7">
        <v>1</v>
      </c>
      <c r="F7" s="8"/>
      <c r="G7" s="7">
        <f>E7*F7</f>
        <v>0</v>
      </c>
      <c r="H7" s="7">
        <f>IF(B7="Implementation",0,G7)</f>
        <v>0</v>
      </c>
      <c r="I7" s="7">
        <f>IF(B7="Implementation",0,H7)</f>
        <v>0</v>
      </c>
      <c r="J7" s="7">
        <f>SUM(G7:I7)+IF(B7="Implementation",0,H7*2)</f>
        <v>0</v>
      </c>
    </row>
    <row r="8" spans="1:10" ht="36" customHeight="1">
      <c r="A8" s="4" t="s">
        <v>157</v>
      </c>
      <c r="B8" s="4" t="s">
        <v>148</v>
      </c>
      <c r="C8" s="4" t="s">
        <v>158</v>
      </c>
      <c r="D8" s="4" t="s">
        <v>150</v>
      </c>
      <c r="E8" s="7">
        <v>1</v>
      </c>
      <c r="F8" s="8"/>
      <c r="G8" s="7">
        <f>E8*F8</f>
        <v>0</v>
      </c>
      <c r="H8" s="7">
        <f>IF(B8="Implementation",0,G8)</f>
        <v>0</v>
      </c>
      <c r="I8" s="7">
        <f>IF(B8="Implementation",0,H8)</f>
        <v>0</v>
      </c>
      <c r="J8" s="7">
        <f>SUM(G8:I8)+IF(B8="Implementation",0,H8*2)</f>
        <v>0</v>
      </c>
    </row>
    <row r="9" spans="1:10" ht="36" customHeight="1">
      <c r="A9" s="4" t="s">
        <v>159</v>
      </c>
      <c r="B9" s="4" t="s">
        <v>160</v>
      </c>
      <c r="C9" s="4" t="s">
        <v>161</v>
      </c>
      <c r="D9" s="4" t="s">
        <v>162</v>
      </c>
      <c r="E9" s="7">
        <v>500</v>
      </c>
      <c r="F9" s="8"/>
      <c r="G9" s="7">
        <f>E9*F9</f>
        <v>0</v>
      </c>
      <c r="H9" s="7">
        <f>IF(B9="Implementation",0,G9)</f>
        <v>0</v>
      </c>
      <c r="I9" s="7">
        <f>IF(B9="Implementation",0,H9)</f>
        <v>0</v>
      </c>
      <c r="J9" s="7">
        <f>SUM(G9:I9)+IF(B9="Implementation",0,H9*2)</f>
        <v>0</v>
      </c>
    </row>
    <row r="10" spans="1:10" ht="36" customHeight="1">
      <c r="A10" s="4" t="s">
        <v>163</v>
      </c>
      <c r="B10" s="4" t="s">
        <v>160</v>
      </c>
      <c r="C10" s="4" t="s">
        <v>164</v>
      </c>
      <c r="D10" s="4" t="s">
        <v>165</v>
      </c>
      <c r="E10" s="7">
        <v>1</v>
      </c>
      <c r="F10" s="8"/>
      <c r="G10" s="7">
        <f>E10*F10</f>
        <v>0</v>
      </c>
      <c r="H10" s="7">
        <f>IF(B10="Implementation",0,G10)</f>
        <v>0</v>
      </c>
      <c r="I10" s="7">
        <f>IF(B10="Implementation",0,H10)</f>
        <v>0</v>
      </c>
      <c r="J10" s="7">
        <f>SUM(G10:I10)+IF(B10="Implementation",0,H10*2)</f>
        <v>0</v>
      </c>
    </row>
    <row r="11" spans="1:10" ht="36" customHeight="1">
      <c r="A11" s="4" t="s">
        <v>166</v>
      </c>
      <c r="B11" s="4" t="s">
        <v>167</v>
      </c>
      <c r="C11" s="4" t="s">
        <v>168</v>
      </c>
      <c r="D11" s="4" t="s">
        <v>169</v>
      </c>
      <c r="E11" s="7">
        <v>3</v>
      </c>
      <c r="F11" s="8"/>
      <c r="G11" s="7">
        <f>E11*F11</f>
        <v>0</v>
      </c>
      <c r="H11" s="7">
        <f>IF(B11="Implementation",0,G11)</f>
        <v>0</v>
      </c>
      <c r="I11" s="7">
        <f>IF(B11="Implementation",0,H11)</f>
        <v>0</v>
      </c>
      <c r="J11" s="7">
        <f>SUM(G11:I11)+IF(B11="Implementation",0,H11*2)</f>
        <v>0</v>
      </c>
    </row>
    <row r="12" spans="1:10" ht="36" customHeight="1">
      <c r="A12" s="4" t="s">
        <v>170</v>
      </c>
      <c r="B12" s="4" t="s">
        <v>81</v>
      </c>
      <c r="C12" s="4" t="s">
        <v>171</v>
      </c>
      <c r="D12" s="4" t="s">
        <v>165</v>
      </c>
      <c r="E12" s="7">
        <v>1</v>
      </c>
      <c r="F12" s="8"/>
      <c r="G12" s="7">
        <f>E12*F12</f>
        <v>0</v>
      </c>
      <c r="H12" s="7">
        <f>IF(B12="Implementation",0,G12)</f>
        <v>0</v>
      </c>
      <c r="I12" s="7">
        <f>IF(B12="Implementation",0,H12)</f>
        <v>0</v>
      </c>
      <c r="J12" s="7">
        <f>SUM(G12:I12)+IF(B12="Implementation",0,H12*2)</f>
        <v>0</v>
      </c>
    </row>
    <row r="13" spans="1:10" ht="36" customHeight="1">
      <c r="A13" s="4" t="s">
        <v>172</v>
      </c>
      <c r="B13" s="4" t="s">
        <v>173</v>
      </c>
      <c r="C13" s="4" t="s">
        <v>174</v>
      </c>
      <c r="D13" s="4" t="s">
        <v>175</v>
      </c>
      <c r="E13" s="7">
        <v>4</v>
      </c>
      <c r="F13" s="8"/>
      <c r="G13" s="7">
        <f>E13*F13</f>
        <v>0</v>
      </c>
      <c r="H13" s="7">
        <f>IF(B13="Implementation",0,G13)</f>
        <v>0</v>
      </c>
      <c r="I13" s="7">
        <f>IF(B13="Implementation",0,H13)</f>
        <v>0</v>
      </c>
      <c r="J13" s="7">
        <f>SUM(G13:I13)+IF(B13="Implementation",0,H13*2)</f>
        <v>0</v>
      </c>
    </row>
    <row r="14" spans="1:10" ht="36" customHeight="1">
      <c r="A14" s="4"/>
      <c r="B14" s="4"/>
      <c r="C14" s="9" t="s">
        <v>176</v>
      </c>
      <c r="D14" s="9"/>
      <c r="E14" s="10"/>
      <c r="F14" s="10"/>
      <c r="G14" s="10">
        <f>SUM(G4:G13)</f>
        <v>0</v>
      </c>
      <c r="H14" s="10">
        <f>SUM(H4:H13)</f>
        <v>0</v>
      </c>
      <c r="I14" s="10">
        <f>SUM(I4:I13)</f>
        <v>0</v>
      </c>
      <c r="J14" s="10">
        <f>SUM(J4:J13)</f>
        <v>0</v>
      </c>
    </row>
  </sheetData>
  <autoFilter ref="A3:J13" xr:uid="{00000000-0009-0000-0000-000003000000}"/>
  <mergeCells count="2">
    <mergeCell ref="A1:J1"/>
    <mergeCell ref="A2:J2"/>
  </mergeCell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34" customWidth="1"/>
    <col min="3" max="3" width="14" customWidth="1"/>
    <col min="4" max="4" width="16" customWidth="1"/>
    <col min="5" max="5" width="20" customWidth="1"/>
    <col min="6" max="6" width="22" customWidth="1"/>
    <col min="7" max="7" width="35" customWidth="1"/>
    <col min="8" max="8" width="24" customWidth="1"/>
    <col min="9" max="9" width="16" customWidth="1"/>
    <col min="10" max="10" width="28" customWidth="1"/>
  </cols>
  <sheetData>
    <row r="1" spans="1:10" ht="30" customHeight="1">
      <c r="A1" s="18" t="s">
        <v>177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178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179</v>
      </c>
      <c r="C3" s="5" t="s">
        <v>180</v>
      </c>
      <c r="D3" s="5" t="s">
        <v>140</v>
      </c>
      <c r="E3" s="5" t="s">
        <v>181</v>
      </c>
      <c r="F3" s="5" t="s">
        <v>182</v>
      </c>
      <c r="G3" s="5" t="s">
        <v>183</v>
      </c>
      <c r="H3" s="5" t="s">
        <v>184</v>
      </c>
      <c r="I3" s="5" t="s">
        <v>98</v>
      </c>
      <c r="J3" s="5" t="s">
        <v>35</v>
      </c>
    </row>
    <row r="4" spans="1:10" ht="36" customHeight="1">
      <c r="A4" s="4" t="s">
        <v>185</v>
      </c>
      <c r="B4" s="4" t="s">
        <v>186</v>
      </c>
      <c r="C4" s="4">
        <v>500</v>
      </c>
      <c r="D4" s="4" t="s">
        <v>187</v>
      </c>
      <c r="E4" s="4" t="s">
        <v>188</v>
      </c>
      <c r="F4" s="4" t="s">
        <v>189</v>
      </c>
      <c r="G4" s="6"/>
      <c r="H4" s="11" t="s">
        <v>190</v>
      </c>
      <c r="I4" s="4"/>
      <c r="J4" s="4"/>
    </row>
    <row r="5" spans="1:10" ht="36" customHeight="1">
      <c r="A5" s="4" t="s">
        <v>191</v>
      </c>
      <c r="B5" s="4" t="s">
        <v>192</v>
      </c>
      <c r="C5" s="4">
        <v>3000000</v>
      </c>
      <c r="D5" s="4" t="s">
        <v>193</v>
      </c>
      <c r="E5" s="4" t="s">
        <v>194</v>
      </c>
      <c r="F5" s="4" t="s">
        <v>195</v>
      </c>
      <c r="G5" s="6"/>
      <c r="H5" s="11" t="s">
        <v>190</v>
      </c>
      <c r="I5" s="4"/>
      <c r="J5" s="4"/>
    </row>
    <row r="6" spans="1:10" ht="36" customHeight="1">
      <c r="A6" s="4" t="s">
        <v>196</v>
      </c>
      <c r="B6" s="4" t="s">
        <v>197</v>
      </c>
      <c r="C6" s="4">
        <v>320</v>
      </c>
      <c r="D6" s="4" t="s">
        <v>187</v>
      </c>
      <c r="E6" s="4" t="s">
        <v>198</v>
      </c>
      <c r="F6" s="4" t="s">
        <v>199</v>
      </c>
      <c r="G6" s="6"/>
      <c r="H6" s="11" t="s">
        <v>190</v>
      </c>
      <c r="I6" s="4"/>
      <c r="J6" s="4"/>
    </row>
    <row r="7" spans="1:10" ht="36" customHeight="1">
      <c r="A7" s="4" t="s">
        <v>200</v>
      </c>
      <c r="B7" s="4" t="s">
        <v>201</v>
      </c>
      <c r="C7" s="4">
        <v>12000</v>
      </c>
      <c r="D7" s="4" t="s">
        <v>202</v>
      </c>
      <c r="E7" s="4" t="s">
        <v>203</v>
      </c>
      <c r="F7" s="4" t="s">
        <v>204</v>
      </c>
      <c r="G7" s="6"/>
      <c r="H7" s="11" t="s">
        <v>190</v>
      </c>
      <c r="I7" s="4"/>
      <c r="J7" s="4"/>
    </row>
    <row r="8" spans="1:10" ht="36" customHeight="1">
      <c r="A8" s="4" t="s">
        <v>205</v>
      </c>
      <c r="B8" s="4" t="s">
        <v>206</v>
      </c>
      <c r="C8" s="4">
        <v>3</v>
      </c>
      <c r="D8" s="4" t="s">
        <v>207</v>
      </c>
      <c r="E8" s="4" t="s">
        <v>208</v>
      </c>
      <c r="F8" s="4" t="s">
        <v>209</v>
      </c>
      <c r="G8" s="6"/>
      <c r="H8" s="11" t="s">
        <v>190</v>
      </c>
      <c r="I8" s="4"/>
      <c r="J8" s="4"/>
    </row>
    <row r="9" spans="1:10" ht="36" customHeight="1">
      <c r="A9" s="4" t="s">
        <v>210</v>
      </c>
      <c r="B9" s="4" t="s">
        <v>211</v>
      </c>
      <c r="C9" s="4">
        <v>5</v>
      </c>
      <c r="D9" s="4" t="s">
        <v>212</v>
      </c>
      <c r="E9" s="4" t="s">
        <v>213</v>
      </c>
      <c r="F9" s="4" t="s">
        <v>214</v>
      </c>
      <c r="G9" s="6"/>
      <c r="H9" s="11" t="s">
        <v>190</v>
      </c>
      <c r="I9" s="4"/>
      <c r="J9" s="4"/>
    </row>
    <row r="10" spans="1:10" ht="36" customHeight="1">
      <c r="A10" s="4" t="s">
        <v>215</v>
      </c>
      <c r="B10" s="4" t="s">
        <v>216</v>
      </c>
      <c r="C10" s="4">
        <v>13</v>
      </c>
      <c r="D10" s="4" t="s">
        <v>217</v>
      </c>
      <c r="E10" s="4" t="s">
        <v>218</v>
      </c>
      <c r="F10" s="4" t="s">
        <v>219</v>
      </c>
      <c r="G10" s="6"/>
      <c r="H10" s="11" t="s">
        <v>190</v>
      </c>
      <c r="I10" s="4"/>
      <c r="J10" s="4"/>
    </row>
  </sheetData>
  <autoFilter ref="A3:J10" xr:uid="{00000000-0009-0000-0000-000004000000}"/>
  <mergeCells count="2">
    <mergeCell ref="A1:J1"/>
    <mergeCell ref="A2:J2"/>
  </mergeCell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40" customWidth="1"/>
    <col min="4" max="5" width="15" customWidth="1"/>
    <col min="6" max="7" width="22" customWidth="1"/>
    <col min="8" max="8" width="32" customWidth="1"/>
    <col min="9" max="9" width="34" customWidth="1"/>
    <col min="10" max="10" width="16" customWidth="1"/>
  </cols>
  <sheetData>
    <row r="1" spans="1:10" ht="30" customHeight="1">
      <c r="A1" s="18" t="s">
        <v>220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221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222</v>
      </c>
      <c r="C3" s="5" t="s">
        <v>223</v>
      </c>
      <c r="D3" s="5" t="s">
        <v>224</v>
      </c>
      <c r="E3" s="5" t="s">
        <v>225</v>
      </c>
      <c r="F3" s="5" t="s">
        <v>226</v>
      </c>
      <c r="G3" s="5" t="s">
        <v>227</v>
      </c>
      <c r="H3" s="5" t="s">
        <v>228</v>
      </c>
      <c r="I3" s="5" t="s">
        <v>229</v>
      </c>
      <c r="J3" s="5" t="s">
        <v>98</v>
      </c>
    </row>
    <row r="4" spans="1:10" ht="36" customHeight="1">
      <c r="A4" s="4" t="s">
        <v>230</v>
      </c>
      <c r="B4" s="4" t="s">
        <v>231</v>
      </c>
      <c r="C4" s="4" t="s">
        <v>232</v>
      </c>
      <c r="D4" s="4" t="s">
        <v>233</v>
      </c>
      <c r="E4" s="4" t="s">
        <v>234</v>
      </c>
      <c r="F4" s="6"/>
      <c r="G4" s="6"/>
      <c r="H4" s="6"/>
      <c r="I4" s="6"/>
      <c r="J4" s="6"/>
    </row>
    <row r="5" spans="1:10" ht="36" customHeight="1">
      <c r="A5" s="4" t="s">
        <v>235</v>
      </c>
      <c r="B5" s="4" t="s">
        <v>236</v>
      </c>
      <c r="C5" s="4" t="s">
        <v>237</v>
      </c>
      <c r="D5" s="4" t="s">
        <v>238</v>
      </c>
      <c r="E5" s="4" t="s">
        <v>239</v>
      </c>
      <c r="F5" s="6"/>
      <c r="G5" s="6"/>
      <c r="H5" s="6"/>
      <c r="I5" s="6"/>
      <c r="J5" s="6"/>
    </row>
    <row r="6" spans="1:10" ht="36" customHeight="1">
      <c r="A6" s="4" t="s">
        <v>240</v>
      </c>
      <c r="B6" s="4" t="s">
        <v>241</v>
      </c>
      <c r="C6" s="4" t="s">
        <v>242</v>
      </c>
      <c r="D6" s="4" t="s">
        <v>243</v>
      </c>
      <c r="E6" s="4" t="s">
        <v>244</v>
      </c>
      <c r="F6" s="6"/>
      <c r="G6" s="6"/>
      <c r="H6" s="6"/>
      <c r="I6" s="6"/>
      <c r="J6" s="6"/>
    </row>
    <row r="7" spans="1:10" ht="36" customHeight="1">
      <c r="A7" s="4" t="s">
        <v>245</v>
      </c>
      <c r="B7" s="4" t="s">
        <v>246</v>
      </c>
      <c r="C7" s="4" t="s">
        <v>247</v>
      </c>
      <c r="D7" s="4" t="s">
        <v>248</v>
      </c>
      <c r="E7" s="4" t="s">
        <v>249</v>
      </c>
      <c r="F7" s="6"/>
      <c r="G7" s="6"/>
      <c r="H7" s="6"/>
      <c r="I7" s="6"/>
      <c r="J7" s="6"/>
    </row>
    <row r="8" spans="1:10" ht="36" customHeight="1">
      <c r="A8" s="4" t="s">
        <v>250</v>
      </c>
      <c r="B8" s="4" t="s">
        <v>251</v>
      </c>
      <c r="C8" s="4" t="s">
        <v>252</v>
      </c>
      <c r="D8" s="4" t="s">
        <v>253</v>
      </c>
      <c r="E8" s="4" t="s">
        <v>254</v>
      </c>
      <c r="F8" s="6"/>
      <c r="G8" s="6"/>
      <c r="H8" s="6"/>
      <c r="I8" s="6"/>
      <c r="J8" s="6"/>
    </row>
    <row r="9" spans="1:10" ht="36" customHeight="1">
      <c r="A9" s="4" t="s">
        <v>255</v>
      </c>
      <c r="B9" s="4" t="s">
        <v>251</v>
      </c>
      <c r="C9" s="4" t="s">
        <v>256</v>
      </c>
      <c r="D9" s="4" t="s">
        <v>257</v>
      </c>
      <c r="E9" s="4" t="s">
        <v>258</v>
      </c>
      <c r="F9" s="6"/>
      <c r="G9" s="6"/>
      <c r="H9" s="6"/>
      <c r="I9" s="6"/>
      <c r="J9" s="6"/>
    </row>
    <row r="10" spans="1:10" ht="36" customHeight="1">
      <c r="A10" s="4" t="s">
        <v>259</v>
      </c>
      <c r="B10" s="4" t="s">
        <v>260</v>
      </c>
      <c r="C10" s="4" t="s">
        <v>261</v>
      </c>
      <c r="D10" s="4" t="s">
        <v>262</v>
      </c>
      <c r="E10" s="4" t="s">
        <v>263</v>
      </c>
      <c r="F10" s="6"/>
      <c r="G10" s="6"/>
      <c r="H10" s="6"/>
      <c r="I10" s="6"/>
      <c r="J10" s="6"/>
    </row>
    <row r="11" spans="1:10" ht="36" customHeight="1">
      <c r="A11" s="4" t="s">
        <v>264</v>
      </c>
      <c r="B11" s="4" t="s">
        <v>265</v>
      </c>
      <c r="C11" s="4" t="s">
        <v>266</v>
      </c>
      <c r="D11" s="4" t="s">
        <v>267</v>
      </c>
      <c r="E11" s="4" t="s">
        <v>268</v>
      </c>
      <c r="F11" s="6"/>
      <c r="G11" s="6"/>
      <c r="H11" s="6"/>
      <c r="I11" s="6"/>
      <c r="J11" s="6"/>
    </row>
  </sheetData>
  <autoFilter ref="A3:J11" xr:uid="{00000000-0009-0000-0000-000005000000}"/>
  <mergeCells count="2">
    <mergeCell ref="A1:J1"/>
    <mergeCell ref="A2:J2"/>
  </mergeCells>
  <dataValidations count="1">
    <dataValidation type="list" sqref="J4:J11" xr:uid="{00000000-0002-0000-0500-000000000000}">
      <formula1>"Proposed,Confirmed,At Risk,Complete"</formula1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5" customWidth="1"/>
    <col min="3" max="3" width="52" customWidth="1"/>
    <col min="4" max="4" width="14" customWidth="1"/>
    <col min="5" max="5" width="12" customWidth="1"/>
    <col min="6" max="6" width="18" customWidth="1"/>
    <col min="7" max="7" width="17" customWidth="1"/>
    <col min="8" max="8" width="42" customWidth="1"/>
    <col min="9" max="9" width="20" customWidth="1"/>
    <col min="10" max="10" width="16" customWidth="1"/>
  </cols>
  <sheetData>
    <row r="1" spans="1:10" ht="30" customHeight="1">
      <c r="A1" s="18" t="s">
        <v>269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270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271</v>
      </c>
      <c r="C3" s="5" t="s">
        <v>272</v>
      </c>
      <c r="D3" s="5" t="s">
        <v>273</v>
      </c>
      <c r="E3" s="5" t="s">
        <v>274</v>
      </c>
      <c r="F3" s="5" t="s">
        <v>275</v>
      </c>
      <c r="G3" s="5" t="s">
        <v>276</v>
      </c>
      <c r="H3" s="5" t="s">
        <v>277</v>
      </c>
      <c r="I3" s="5" t="s">
        <v>97</v>
      </c>
      <c r="J3" s="5" t="s">
        <v>98</v>
      </c>
    </row>
    <row r="4" spans="1:10" ht="36" customHeight="1">
      <c r="A4" s="4" t="s">
        <v>278</v>
      </c>
      <c r="B4" s="4" t="s">
        <v>279</v>
      </c>
      <c r="C4" s="12" t="s">
        <v>280</v>
      </c>
      <c r="D4" s="12" t="s">
        <v>48</v>
      </c>
      <c r="E4" s="12" t="s">
        <v>39</v>
      </c>
      <c r="F4" s="12"/>
      <c r="G4" s="13"/>
      <c r="H4" s="12" t="s">
        <v>281</v>
      </c>
      <c r="I4" s="12"/>
      <c r="J4" s="4" t="s">
        <v>282</v>
      </c>
    </row>
    <row r="5" spans="1:10" ht="36" customHeight="1">
      <c r="A5" s="4" t="s">
        <v>283</v>
      </c>
      <c r="B5" s="4" t="s">
        <v>279</v>
      </c>
      <c r="C5" s="12" t="s">
        <v>284</v>
      </c>
      <c r="D5" s="12" t="s">
        <v>48</v>
      </c>
      <c r="E5" s="12" t="s">
        <v>48</v>
      </c>
      <c r="F5" s="12"/>
      <c r="G5" s="13"/>
      <c r="H5" s="12" t="s">
        <v>285</v>
      </c>
      <c r="I5" s="12"/>
      <c r="J5" s="4" t="s">
        <v>282</v>
      </c>
    </row>
    <row r="6" spans="1:10" ht="36" customHeight="1">
      <c r="A6" s="4" t="s">
        <v>286</v>
      </c>
      <c r="B6" s="4" t="s">
        <v>287</v>
      </c>
      <c r="C6" s="12" t="s">
        <v>288</v>
      </c>
      <c r="D6" s="12" t="s">
        <v>289</v>
      </c>
      <c r="E6" s="12" t="s">
        <v>39</v>
      </c>
      <c r="F6" s="12"/>
      <c r="G6" s="13"/>
      <c r="H6" s="12" t="s">
        <v>290</v>
      </c>
      <c r="I6" s="12"/>
      <c r="J6" s="4" t="s">
        <v>282</v>
      </c>
    </row>
    <row r="7" spans="1:10" ht="36" customHeight="1">
      <c r="A7" s="4" t="s">
        <v>291</v>
      </c>
      <c r="B7" s="4" t="s">
        <v>287</v>
      </c>
      <c r="C7" s="12" t="s">
        <v>292</v>
      </c>
      <c r="D7" s="12" t="s">
        <v>289</v>
      </c>
      <c r="E7" s="12" t="s">
        <v>48</v>
      </c>
      <c r="F7" s="12"/>
      <c r="G7" s="13"/>
      <c r="H7" s="12" t="s">
        <v>293</v>
      </c>
      <c r="I7" s="12"/>
      <c r="J7" s="4" t="s">
        <v>282</v>
      </c>
    </row>
    <row r="8" spans="1:10" ht="36" customHeight="1">
      <c r="A8" s="4" t="s">
        <v>294</v>
      </c>
      <c r="B8" s="6"/>
      <c r="C8" s="6"/>
      <c r="D8" s="6"/>
      <c r="E8" s="6"/>
      <c r="F8" s="6"/>
      <c r="G8" s="6"/>
      <c r="H8" s="6"/>
      <c r="I8" s="6"/>
      <c r="J8" s="6"/>
    </row>
    <row r="9" spans="1:10" ht="36" customHeight="1">
      <c r="A9" s="4" t="s">
        <v>295</v>
      </c>
      <c r="B9" s="6"/>
      <c r="C9" s="6"/>
      <c r="D9" s="6"/>
      <c r="E9" s="6"/>
      <c r="F9" s="6"/>
      <c r="G9" s="6"/>
      <c r="H9" s="6"/>
      <c r="I9" s="6"/>
      <c r="J9" s="6"/>
    </row>
    <row r="10" spans="1:10" ht="36" customHeight="1">
      <c r="A10" s="4" t="s">
        <v>296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36" customHeight="1">
      <c r="A11" s="4" t="s">
        <v>297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ht="36" customHeight="1">
      <c r="A12" s="4" t="s">
        <v>298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ht="36" customHeight="1">
      <c r="A13" s="4" t="s">
        <v>299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ht="36" customHeight="1">
      <c r="A14" s="4" t="s">
        <v>300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ht="36" customHeight="1">
      <c r="A15" s="4" t="s">
        <v>301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ht="36" customHeight="1">
      <c r="A16" s="4" t="s">
        <v>302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ht="36" customHeight="1">
      <c r="A17" s="4" t="s">
        <v>303</v>
      </c>
      <c r="B17" s="6"/>
      <c r="C17" s="6"/>
      <c r="D17" s="6"/>
      <c r="E17" s="6"/>
      <c r="F17" s="6"/>
      <c r="G17" s="6"/>
      <c r="H17" s="6"/>
      <c r="I17" s="6"/>
      <c r="J17" s="6"/>
    </row>
  </sheetData>
  <autoFilter ref="A3:J17" xr:uid="{00000000-0009-0000-0000-000006000000}"/>
  <mergeCells count="2">
    <mergeCell ref="A1:J1"/>
    <mergeCell ref="A2:J2"/>
  </mergeCells>
  <dataValidations count="1">
    <dataValidation type="list" sqref="B4:B17" xr:uid="{00000000-0002-0000-0600-000000000000}">
      <formula1>"Risk,Assumption,Dependency,Constraint"</formula1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3" width="20" customWidth="1"/>
    <col min="4" max="4" width="55" customWidth="1"/>
    <col min="5" max="5" width="15" customWidth="1"/>
    <col min="6" max="6" width="55" customWidth="1"/>
    <col min="7" max="7" width="15" customWidth="1"/>
    <col min="8" max="8" width="30" customWidth="1"/>
    <col min="9" max="9" width="14" customWidth="1"/>
    <col min="10" max="10" width="20" customWidth="1"/>
  </cols>
  <sheetData>
    <row r="1" spans="1:10" ht="30" customHeight="1">
      <c r="A1" s="18" t="s">
        <v>304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305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26</v>
      </c>
      <c r="B3" s="5" t="s">
        <v>306</v>
      </c>
      <c r="C3" s="5" t="s">
        <v>307</v>
      </c>
      <c r="D3" s="5" t="s">
        <v>93</v>
      </c>
      <c r="E3" s="5" t="s">
        <v>308</v>
      </c>
      <c r="F3" s="5" t="s">
        <v>309</v>
      </c>
      <c r="G3" s="5" t="s">
        <v>310</v>
      </c>
      <c r="H3" s="5" t="s">
        <v>311</v>
      </c>
      <c r="I3" s="5" t="s">
        <v>98</v>
      </c>
      <c r="J3" s="5" t="s">
        <v>97</v>
      </c>
    </row>
    <row r="4" spans="1:10" ht="36" customHeight="1">
      <c r="A4" s="4" t="s">
        <v>312</v>
      </c>
      <c r="B4" s="6"/>
      <c r="C4" s="6"/>
      <c r="D4" s="6"/>
      <c r="E4" s="6"/>
      <c r="F4" s="6"/>
      <c r="G4" s="6"/>
      <c r="H4" s="6"/>
      <c r="I4" s="6"/>
      <c r="J4" s="6"/>
    </row>
    <row r="5" spans="1:10" ht="36" customHeight="1">
      <c r="A5" s="4" t="s">
        <v>313</v>
      </c>
      <c r="B5" s="6"/>
      <c r="C5" s="6"/>
      <c r="D5" s="6"/>
      <c r="E5" s="6"/>
      <c r="F5" s="6"/>
      <c r="G5" s="6"/>
      <c r="H5" s="6"/>
      <c r="I5" s="6"/>
      <c r="J5" s="6"/>
    </row>
    <row r="6" spans="1:10" ht="36" customHeight="1">
      <c r="A6" s="4" t="s">
        <v>314</v>
      </c>
      <c r="B6" s="6"/>
      <c r="C6" s="6"/>
      <c r="D6" s="6"/>
      <c r="E6" s="6"/>
      <c r="F6" s="6"/>
      <c r="G6" s="6"/>
      <c r="H6" s="6"/>
      <c r="I6" s="6"/>
      <c r="J6" s="6"/>
    </row>
    <row r="7" spans="1:10" ht="36" customHeight="1">
      <c r="A7" s="4" t="s">
        <v>315</v>
      </c>
      <c r="B7" s="6"/>
      <c r="C7" s="6"/>
      <c r="D7" s="6"/>
      <c r="E7" s="6"/>
      <c r="F7" s="6"/>
      <c r="G7" s="6"/>
      <c r="H7" s="6"/>
      <c r="I7" s="6"/>
      <c r="J7" s="6"/>
    </row>
    <row r="8" spans="1:10" ht="36" customHeight="1">
      <c r="A8" s="4" t="s">
        <v>316</v>
      </c>
      <c r="B8" s="6"/>
      <c r="C8" s="6"/>
      <c r="D8" s="6"/>
      <c r="E8" s="6"/>
      <c r="F8" s="6"/>
      <c r="G8" s="6"/>
      <c r="H8" s="6"/>
      <c r="I8" s="6"/>
      <c r="J8" s="6"/>
    </row>
    <row r="9" spans="1:10" ht="36" customHeight="1">
      <c r="A9" s="4" t="s">
        <v>317</v>
      </c>
      <c r="B9" s="6"/>
      <c r="C9" s="6"/>
      <c r="D9" s="6"/>
      <c r="E9" s="6"/>
      <c r="F9" s="6"/>
      <c r="G9" s="6"/>
      <c r="H9" s="6"/>
      <c r="I9" s="6"/>
      <c r="J9" s="6"/>
    </row>
    <row r="10" spans="1:10" ht="36" customHeight="1">
      <c r="A10" s="4" t="s">
        <v>318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36" customHeight="1">
      <c r="A11" s="4" t="s">
        <v>319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ht="36" customHeight="1">
      <c r="A12" s="4" t="s">
        <v>320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ht="36" customHeight="1">
      <c r="A13" s="4" t="s">
        <v>321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ht="36" customHeight="1">
      <c r="A14" s="4" t="s">
        <v>322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ht="36" customHeight="1">
      <c r="A15" s="4" t="s">
        <v>323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ht="36" customHeight="1">
      <c r="A16" s="4" t="s">
        <v>324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ht="36" customHeight="1">
      <c r="A17" s="4" t="s">
        <v>325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36" customHeight="1">
      <c r="A18" s="4" t="s">
        <v>326</v>
      </c>
      <c r="B18" s="6"/>
      <c r="C18" s="6"/>
      <c r="D18" s="6"/>
      <c r="E18" s="6"/>
      <c r="F18" s="6"/>
      <c r="G18" s="6"/>
      <c r="H18" s="6"/>
      <c r="I18" s="6"/>
      <c r="J18" s="6"/>
    </row>
  </sheetData>
  <autoFilter ref="A3:J18" xr:uid="{00000000-0009-0000-0000-000007000000}"/>
  <mergeCells count="2">
    <mergeCell ref="A1:J1"/>
    <mergeCell ref="A2:J2"/>
  </mergeCells>
  <dataValidations count="1">
    <dataValidation type="list" sqref="I4:I18" xr:uid="{00000000-0002-0000-0700-000000000000}">
      <formula1>"Draft,Submitted,Answered,Closed"</formula1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3" customWidth="1"/>
    <col min="2" max="2" width="42" customWidth="1"/>
    <col min="3" max="3" width="12" customWidth="1"/>
    <col min="4" max="4" width="16" customWidth="1"/>
    <col min="5" max="5" width="22" customWidth="1"/>
    <col min="6" max="6" width="18" customWidth="1"/>
    <col min="7" max="7" width="45" customWidth="1"/>
    <col min="8" max="8" width="28" customWidth="1"/>
    <col min="9" max="9" width="18" customWidth="1"/>
    <col min="10" max="10" width="20" customWidth="1"/>
  </cols>
  <sheetData>
    <row r="1" spans="1:10" ht="30" customHeight="1">
      <c r="A1" s="18" t="s">
        <v>327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95" customHeight="1">
      <c r="A2" s="20" t="s">
        <v>328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0" customHeight="1">
      <c r="A3" s="5" t="s">
        <v>329</v>
      </c>
      <c r="B3" s="5" t="s">
        <v>330</v>
      </c>
      <c r="C3" s="5" t="s">
        <v>331</v>
      </c>
      <c r="D3" s="5" t="s">
        <v>332</v>
      </c>
      <c r="E3" s="5" t="s">
        <v>333</v>
      </c>
      <c r="F3" s="5" t="s">
        <v>334</v>
      </c>
      <c r="G3" s="5" t="s">
        <v>335</v>
      </c>
      <c r="H3" s="5" t="s">
        <v>336</v>
      </c>
      <c r="I3" s="5" t="s">
        <v>337</v>
      </c>
      <c r="J3" s="5" t="s">
        <v>338</v>
      </c>
    </row>
    <row r="4" spans="1:10" ht="36" customHeight="1">
      <c r="A4" s="4" t="s">
        <v>339</v>
      </c>
      <c r="B4" s="4" t="s">
        <v>340</v>
      </c>
      <c r="C4" s="14">
        <v>0.3</v>
      </c>
      <c r="D4" s="4">
        <v>3</v>
      </c>
      <c r="E4" s="6"/>
      <c r="F4" s="14">
        <f>C4*E4/5</f>
        <v>0</v>
      </c>
      <c r="G4" s="12"/>
      <c r="H4" s="12"/>
      <c r="I4" s="12"/>
      <c r="J4" s="14">
        <f>C4*I4/5</f>
        <v>0</v>
      </c>
    </row>
    <row r="5" spans="1:10" ht="36" customHeight="1">
      <c r="A5" s="4" t="s">
        <v>341</v>
      </c>
      <c r="B5" s="4" t="s">
        <v>342</v>
      </c>
      <c r="C5" s="14">
        <v>0.2</v>
      </c>
      <c r="D5" s="4">
        <v>2</v>
      </c>
      <c r="E5" s="6"/>
      <c r="F5" s="14">
        <f>C5*E5/5</f>
        <v>0</v>
      </c>
      <c r="G5" s="12"/>
      <c r="H5" s="12"/>
      <c r="I5" s="12"/>
      <c r="J5" s="14">
        <f>C5*I5/5</f>
        <v>0</v>
      </c>
    </row>
    <row r="6" spans="1:10" ht="36" customHeight="1">
      <c r="A6" s="4" t="s">
        <v>343</v>
      </c>
      <c r="B6" s="4" t="s">
        <v>344</v>
      </c>
      <c r="C6" s="14">
        <v>0.2</v>
      </c>
      <c r="D6" s="4">
        <v>3</v>
      </c>
      <c r="E6" s="6"/>
      <c r="F6" s="14">
        <f>C6*E6/5</f>
        <v>0</v>
      </c>
      <c r="G6" s="12"/>
      <c r="H6" s="12"/>
      <c r="I6" s="12"/>
      <c r="J6" s="14">
        <f>C6*I6/5</f>
        <v>0</v>
      </c>
    </row>
    <row r="7" spans="1:10" ht="36" customHeight="1">
      <c r="A7" s="4" t="s">
        <v>345</v>
      </c>
      <c r="B7" s="4" t="s">
        <v>346</v>
      </c>
      <c r="C7" s="14">
        <v>0.2</v>
      </c>
      <c r="D7" s="4">
        <v>2</v>
      </c>
      <c r="E7" s="6"/>
      <c r="F7" s="14">
        <f>C7*E7/5</f>
        <v>0</v>
      </c>
      <c r="G7" s="12"/>
      <c r="H7" s="12"/>
      <c r="I7" s="12"/>
      <c r="J7" s="14">
        <f>C7*I7/5</f>
        <v>0</v>
      </c>
    </row>
    <row r="8" spans="1:10" ht="36" customHeight="1">
      <c r="A8" s="4" t="s">
        <v>347</v>
      </c>
      <c r="B8" s="4" t="s">
        <v>348</v>
      </c>
      <c r="C8" s="14">
        <v>0.1</v>
      </c>
      <c r="D8" s="4">
        <v>2</v>
      </c>
      <c r="E8" s="6"/>
      <c r="F8" s="14">
        <f>C8*E8/5</f>
        <v>0</v>
      </c>
      <c r="G8" s="12"/>
      <c r="H8" s="12"/>
      <c r="I8" s="12"/>
      <c r="J8" s="14">
        <f>C8*I8/5</f>
        <v>0</v>
      </c>
    </row>
    <row r="9" spans="1:10" ht="36" customHeight="1">
      <c r="A9" s="4"/>
      <c r="B9" s="9" t="s">
        <v>176</v>
      </c>
      <c r="C9" s="15">
        <f>SUM(C4:C8)</f>
        <v>0.99999999999999989</v>
      </c>
      <c r="D9" s="9"/>
      <c r="E9" s="9"/>
      <c r="F9" s="15">
        <f>SUM(F4:F8)</f>
        <v>0</v>
      </c>
      <c r="G9" s="9"/>
      <c r="H9" s="9"/>
      <c r="I9" s="9"/>
      <c r="J9" s="15">
        <f>SUM(J4:J8)</f>
        <v>0</v>
      </c>
    </row>
  </sheetData>
  <autoFilter ref="A3:J8" xr:uid="{00000000-0009-0000-0000-000008000000}"/>
  <mergeCells count="2">
    <mergeCell ref="A1:J1"/>
    <mergeCell ref="A2:J2"/>
  </mergeCells>
  <conditionalFormatting sqref="E4:E8">
    <cfRule type="expression" dxfId="0" priority="1">
      <formula>E4&lt;D4</formula>
    </cfRule>
  </conditionalFormatting>
  <dataValidations count="1">
    <dataValidation type="decimal" sqref="E4:E8 I4:I8" xr:uid="{00000000-0002-0000-0800-000000000000}">
      <formula1>0</formula1>
      <formula2>5</formula2>
    </dataValidation>
  </dataValidations>
  <pageMargins left="0.75" right="0.75" top="1" bottom="1" header="0.5" footer="0.5"/>
  <pageSetup fitToHeight="0"/>
  <headerFooter>
    <oddFooter>&amp;C&amp;8 Northstar synthetic demo RFP | NSR-2026-AI-014</oddFooter>
  </headerFooter>
</worksheet>
</file>

<file path=docMetadata/LabelInfo.xml><?xml version="1.0" encoding="utf-8"?>
<clbl:labelList xmlns:clbl="http://schemas.microsoft.com/office/2020/mipLabelMetadata">
  <clbl:label id="{ccb6fc37-a1d1-4252-981c-63836d1ca50c}" enabled="1" method="Privileged" siteId="{e0793d39-0939-496d-b129-198edd916f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Fawad, Sultan</dc:creator>
  <cp:keywords/>
  <dc:description/>
  <cp:lastModifiedBy/>
  <cp:revision/>
  <dcterms:created xsi:type="dcterms:W3CDTF">2026-10-23T22:30:31Z</dcterms:created>
  <dcterms:modified xsi:type="dcterms:W3CDTF">2026-10-23T22:34:44Z</dcterms:modified>
  <cp:category/>
  <cp:contentStatus/>
</cp:coreProperties>
</file>
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Security Questionnaire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Volumes &amp; Assumptions" sheetId="5" state="visible" r:id="rId5"/>
    <sheet xmlns:r="http://schemas.openxmlformats.org/officeDocument/2006/relationships" name="Implementation Plan" sheetId="6" state="visible" r:id="rId6"/>
    <sheet xmlns:r="http://schemas.openxmlformats.org/officeDocument/2006/relationships" name="Risks &amp; Assumptions" sheetId="7" state="visible" r:id="rId7"/>
    <sheet xmlns:r="http://schemas.openxmlformats.org/officeDocument/2006/relationships" name="Clarifications" sheetId="8" state="visible" r:id="rId8"/>
    <sheet xmlns:r="http://schemas.openxmlformats.org/officeDocument/2006/relationships" name="Evaluation" sheetId="9" state="visible" r:id="rId9"/>
  </sheets>
  <definedNames>
    <definedName name="_xlnm._FilterDatabase" localSheetId="1" hidden="1">'Requirements'!$A$3:$J$23</definedName>
    <definedName name="_xlnm._FilterDatabase" localSheetId="2" hidden="1">'Security Questionnaire'!$A$3:$J$15</definedName>
    <definedName name="_xlnm._FilterDatabase" localSheetId="3" hidden="1">'Pricing'!$A$3:$J$13</definedName>
    <definedName name="_xlnm._FilterDatabase" localSheetId="4" hidden="1">'Volumes &amp; Assumptions'!$A$3:$J$10</definedName>
    <definedName name="_xlnm._FilterDatabase" localSheetId="5" hidden="1">'Implementation Plan'!$A$3:$J$11</definedName>
    <definedName name="_xlnm._FilterDatabase" localSheetId="6" hidden="1">'Risks &amp; Assumptions'!$A$3:$J$17</definedName>
    <definedName name="_xlnm._FilterDatabase" localSheetId="7" hidden="1">'Clarifications'!$A$3:$J$18</definedName>
    <definedName name="_xlnm._FilterDatabase" localSheetId="8" hidden="1">'Evaluation'!$A$3:$J$8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2">
    <numFmt numFmtId="164" formatCode="\£#,##0;[Red]\(\£#,##0\);\-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66666"/>
      <sz val="11"/>
    </font>
    <font>
      <name val="Calibri"/>
      <b val="1"/>
      <color rgb="FF666666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6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1" min="1" max="1"/>
    <col width="78" customWidth="1" style="21" min="2" max="2"/>
  </cols>
  <sheetData>
    <row r="1" ht="30" customHeight="1" s="21">
      <c r="A1" s="16" t="inlineStr">
        <is>
          <t>Northstar RFP Exhibits</t>
        </is>
      </c>
    </row>
    <row r="2" ht="27.95" customHeight="1" s="21">
      <c r="A2" s="17" t="inlineStr">
        <is>
          <t>Complete the yellow supplier-input cells. Grey cells are client-provided; calculated cells are black.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6" customHeight="1" s="21">
      <c r="A4" s="2" t="inlineStr">
        <is>
          <t>RFP reference</t>
        </is>
      </c>
      <c r="B4" s="3" t="inlineStr">
        <is>
          <t>NSR-2026-AI-014</t>
        </is>
      </c>
    </row>
    <row r="5" ht="36" customHeight="1" s="21">
      <c r="A5" s="2" t="inlineStr">
        <is>
          <t>Opportunity</t>
        </is>
      </c>
      <c r="B5" s="3" t="inlineStr">
        <is>
          <t>AI-Enabled Customer Operations Transformation</t>
        </is>
      </c>
    </row>
    <row r="6" ht="36" customHeight="1" s="21">
      <c r="A6" s="2" t="inlineStr">
        <is>
          <t>Client</t>
        </is>
      </c>
      <c r="B6" s="3" t="inlineStr">
        <is>
          <t>Northstar Retail Group (fictional)</t>
        </is>
      </c>
    </row>
    <row r="7" ht="36" customHeight="1" s="21">
      <c r="A7" s="2" t="inlineStr">
        <is>
          <t>Response deadline</t>
        </is>
      </c>
      <c r="B7" s="3" t="inlineStr">
        <is>
          <t>30 November 2026</t>
        </is>
      </c>
    </row>
    <row r="8" ht="36" customHeight="1" s="21">
      <c r="A8" s="2" t="inlineStr">
        <is>
          <t>Currency</t>
        </is>
      </c>
      <c r="B8" s="3" t="inlineStr">
        <is>
          <t>GBP</t>
        </is>
      </c>
    </row>
    <row r="9" ht="36" customHeight="1" s="21">
      <c r="A9" s="2" t="inlineStr">
        <is>
          <t>Workbook status</t>
        </is>
      </c>
      <c r="B9" s="3" t="inlineStr">
        <is>
          <t>Synthetic public demo</t>
        </is>
      </c>
    </row>
    <row r="10" ht="36" customHeight="1" s="21">
      <c r="A10" s="2" t="n"/>
      <c r="B10" s="3" t="n"/>
    </row>
    <row r="11" ht="36" customHeight="1" s="21">
      <c r="A11" s="2" t="inlineStr">
        <is>
          <t>Response convention</t>
        </is>
      </c>
      <c r="B11" s="3" t="inlineStr">
        <is>
          <t>Comply / Partially Comply / Do Not Comply / Not Applicable</t>
        </is>
      </c>
    </row>
    <row r="12" ht="36" customHeight="1" s="21">
      <c r="A12" s="2" t="inlineStr">
        <is>
          <t>Mandatory items</t>
        </is>
      </c>
      <c r="B12" s="3" t="inlineStr">
        <is>
          <t>Rows marked Yes must be fully answered</t>
        </is>
      </c>
    </row>
    <row r="13" ht="36" customHeight="1" s="21">
      <c r="A13" s="2" t="inlineStr">
        <is>
          <t>Evidence</t>
        </is>
      </c>
      <c r="B13" s="3" t="inlineStr">
        <is>
          <t>Use Source / Evidence fields to reference proposal sections or product documentation</t>
        </is>
      </c>
    </row>
    <row r="14" ht="36" customHeight="1" s="21">
      <c r="A14" s="2" t="inlineStr">
        <is>
          <t>Pricing</t>
        </is>
      </c>
      <c r="B14" s="3" t="inlineStr">
        <is>
          <t>Complete quantity, unit, unit price and assumptions; totals calculate automatically</t>
        </is>
      </c>
    </row>
    <row r="15" ht="36" customHeight="1" s="21">
      <c r="A15" s="2" t="inlineStr">
        <is>
          <t>Important</t>
        </is>
      </c>
      <c r="B15" s="3" t="inlineStr">
        <is>
          <t>All organisations, people, numbers and platforms in this workbook are fictional.</t>
        </is>
      </c>
    </row>
  </sheetData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8" customWidth="1" style="21" min="2" max="2"/>
    <col width="58" customWidth="1" style="21" min="3" max="3"/>
    <col width="11" customWidth="1" style="21" min="4" max="5"/>
    <col width="20" customWidth="1" style="21" min="6" max="6"/>
    <col width="45" customWidth="1" style="21" min="7" max="7"/>
    <col width="28" customWidth="1" style="21" min="8" max="8"/>
    <col width="30" customWidth="1" style="21" min="9" max="9"/>
    <col width="25" customWidth="1" style="21" min="10" max="10"/>
  </cols>
  <sheetData>
    <row r="1" ht="30" customHeight="1" s="21">
      <c r="A1" s="18" t="inlineStr">
        <is>
          <t>Exhibit A | Requirements</t>
        </is>
      </c>
    </row>
    <row r="2" ht="27.95" customHeight="1" s="21">
      <c r="A2" s="20" t="inlineStr">
        <is>
          <t>Respond to each requirement and provide concise evidence.</t>
        </is>
      </c>
    </row>
    <row r="3" ht="30" customHeight="1" s="21">
      <c r="A3" s="5" t="inlineStr">
        <is>
          <t>ID</t>
        </is>
      </c>
      <c r="B3" s="5" t="inlineStr">
        <is>
          <t>Category</t>
        </is>
      </c>
      <c r="C3" s="5" t="inlineStr">
        <is>
          <t>Requirement</t>
        </is>
      </c>
      <c r="D3" s="5" t="inlineStr">
        <is>
          <t>Priority</t>
        </is>
      </c>
      <c r="E3" s="5" t="inlineStr">
        <is>
          <t>Mandatory</t>
        </is>
      </c>
      <c r="F3" s="5" t="inlineStr">
        <is>
          <t>Supplier Response</t>
        </is>
      </c>
      <c r="G3" s="5" t="inlineStr">
        <is>
          <t>Response Detail</t>
        </is>
      </c>
      <c r="H3" s="5" t="inlineStr">
        <is>
          <t>Evidence / Proposal Ref</t>
        </is>
      </c>
      <c r="I3" s="5" t="inlineStr">
        <is>
          <t>Gap / Roadmap</t>
        </is>
      </c>
      <c r="J3" s="5" t="inlineStr">
        <is>
          <t>Comments</t>
        </is>
      </c>
    </row>
    <row r="4" ht="36" customHeight="1" s="21">
      <c r="A4" s="19" t="inlineStr">
        <is>
          <t>F-001</t>
        </is>
      </c>
      <c r="B4" s="19" t="inlineStr">
        <is>
          <t>Agent Assist</t>
        </is>
      </c>
      <c r="C4" s="19" t="inlineStr">
        <is>
          <t>Provide grounded answer suggestions using approved enterprise knowledge.</t>
        </is>
      </c>
      <c r="D4" s="19" t="inlineStr">
        <is>
          <t>High</t>
        </is>
      </c>
      <c r="E4" s="19" t="inlineStr">
        <is>
          <t>Yes</t>
        </is>
      </c>
      <c r="F4" s="6" t="n"/>
      <c r="G4" s="6" t="n"/>
      <c r="H4" s="6" t="n"/>
      <c r="I4" s="6" t="n"/>
      <c r="J4" s="6" t="n"/>
    </row>
    <row r="5" ht="36" customHeight="1" s="21">
      <c r="A5" s="19" t="inlineStr">
        <is>
          <t>F-002</t>
        </is>
      </c>
      <c r="B5" s="19" t="inlineStr">
        <is>
          <t>Agent Assist</t>
        </is>
      </c>
      <c r="C5" s="19" t="inlineStr">
        <is>
          <t>Generate editable interaction summaries and disposition recommendations.</t>
        </is>
      </c>
      <c r="D5" s="19" t="inlineStr">
        <is>
          <t>High</t>
        </is>
      </c>
      <c r="E5" s="19" t="inlineStr">
        <is>
          <t>Yes</t>
        </is>
      </c>
      <c r="F5" s="6" t="n"/>
      <c r="G5" s="6" t="n"/>
      <c r="H5" s="6" t="n"/>
      <c r="I5" s="6" t="n"/>
      <c r="J5" s="6" t="n"/>
    </row>
    <row r="6" ht="36" customHeight="1" s="21">
      <c r="A6" s="19" t="inlineStr">
        <is>
          <t>F-003</t>
        </is>
      </c>
      <c r="B6" s="19" t="inlineStr">
        <is>
          <t>Knowledge</t>
        </is>
      </c>
      <c r="C6" s="19" t="inlineStr">
        <is>
          <t>Return source citations and enforce source-level access permissions.</t>
        </is>
      </c>
      <c r="D6" s="19" t="inlineStr">
        <is>
          <t>High</t>
        </is>
      </c>
      <c r="E6" s="19" t="inlineStr">
        <is>
          <t>Yes</t>
        </is>
      </c>
      <c r="F6" s="6" t="n"/>
      <c r="G6" s="6" t="n"/>
      <c r="H6" s="6" t="n"/>
      <c r="I6" s="6" t="n"/>
      <c r="J6" s="6" t="n"/>
    </row>
    <row r="7" ht="36" customHeight="1" s="21">
      <c r="A7" s="19" t="inlineStr">
        <is>
          <t>F-004</t>
        </is>
      </c>
      <c r="B7" s="19" t="inlineStr">
        <is>
          <t>Knowledge</t>
        </is>
      </c>
      <c r="C7" s="19" t="inlineStr">
        <is>
          <t>Support content freshness, owner, expiry and feedback workflows.</t>
        </is>
      </c>
      <c r="D7" s="19" t="inlineStr">
        <is>
          <t>Medium</t>
        </is>
      </c>
      <c r="E7" s="19" t="inlineStr">
        <is>
          <t>No</t>
        </is>
      </c>
      <c r="F7" s="6" t="n"/>
      <c r="G7" s="6" t="n"/>
      <c r="H7" s="6" t="n"/>
      <c r="I7" s="6" t="n"/>
      <c r="J7" s="6" t="n"/>
    </row>
    <row r="8" ht="36" customHeight="1" s="21">
      <c r="A8" s="19" t="inlineStr">
        <is>
          <t>F-005</t>
        </is>
      </c>
      <c r="B8" s="19" t="inlineStr">
        <is>
          <t>Self-Service</t>
        </is>
      </c>
      <c r="C8" s="19" t="inlineStr">
        <is>
          <t>Support authenticated and unauthenticated conversational journeys.</t>
        </is>
      </c>
      <c r="D8" s="19" t="inlineStr">
        <is>
          <t>High</t>
        </is>
      </c>
      <c r="E8" s="19" t="inlineStr">
        <is>
          <t>Yes</t>
        </is>
      </c>
      <c r="F8" s="6" t="n"/>
      <c r="G8" s="6" t="n"/>
      <c r="H8" s="6" t="n"/>
      <c r="I8" s="6" t="n"/>
      <c r="J8" s="6" t="n"/>
    </row>
    <row r="9" ht="36" customHeight="1" s="21">
      <c r="A9" s="19" t="inlineStr">
        <is>
          <t>F-006</t>
        </is>
      </c>
      <c r="B9" s="19" t="inlineStr">
        <is>
          <t>Self-Service</t>
        </is>
      </c>
      <c r="C9" s="19" t="inlineStr">
        <is>
          <t>Escalate to a human with transcript, intent and collected context.</t>
        </is>
      </c>
      <c r="D9" s="19" t="inlineStr">
        <is>
          <t>High</t>
        </is>
      </c>
      <c r="E9" s="19" t="inlineStr">
        <is>
          <t>Yes</t>
        </is>
      </c>
      <c r="F9" s="6" t="n"/>
      <c r="G9" s="6" t="n"/>
      <c r="H9" s="6" t="n"/>
      <c r="I9" s="6" t="n"/>
      <c r="J9" s="6" t="n"/>
    </row>
    <row r="10" ht="36" customHeight="1" s="21">
      <c r="A10" s="19" t="inlineStr">
        <is>
          <t>F-007</t>
        </is>
      </c>
      <c r="B10" s="19" t="inlineStr">
        <is>
          <t>Quality</t>
        </is>
      </c>
      <c r="C10" s="19" t="inlineStr">
        <is>
          <t>Evaluate interactions against configurable quality criteria.</t>
        </is>
      </c>
      <c r="D10" s="19" t="inlineStr">
        <is>
          <t>Medium</t>
        </is>
      </c>
      <c r="E10" s="19" t="inlineStr">
        <is>
          <t>No</t>
        </is>
      </c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F-008</t>
        </is>
      </c>
      <c r="B11" s="19" t="inlineStr">
        <is>
          <t>Analytics</t>
        </is>
      </c>
      <c r="C11" s="19" t="inlineStr">
        <is>
          <t>Expose operational, adoption and outcome metrics.</t>
        </is>
      </c>
      <c r="D11" s="19" t="inlineStr">
        <is>
          <t>High</t>
        </is>
      </c>
      <c r="E11" s="19" t="inlineStr">
        <is>
          <t>Yes</t>
        </is>
      </c>
      <c r="F11" s="6" t="n"/>
      <c r="G11" s="6" t="n"/>
      <c r="H11" s="6" t="n"/>
      <c r="I11" s="6" t="n"/>
      <c r="J11" s="6" t="n"/>
    </row>
    <row r="12" ht="36" customHeight="1" s="21">
      <c r="A12" s="19" t="inlineStr">
        <is>
          <t>I-001</t>
        </is>
      </c>
      <c r="B12" s="19" t="inlineStr">
        <is>
          <t>Integration</t>
        </is>
      </c>
      <c r="C12" s="19" t="inlineStr">
        <is>
          <t>Integrate with Dynamics 365 Customer Service through supported APIs.</t>
        </is>
      </c>
      <c r="D12" s="19" t="inlineStr">
        <is>
          <t>High</t>
        </is>
      </c>
      <c r="E12" s="19" t="inlineStr">
        <is>
          <t>Yes</t>
        </is>
      </c>
      <c r="F12" s="6" t="n"/>
      <c r="G12" s="6" t="n"/>
      <c r="H12" s="6" t="n"/>
      <c r="I12" s="6" t="n"/>
      <c r="J12" s="6" t="n"/>
    </row>
    <row r="13" ht="36" customHeight="1" s="21">
      <c r="A13" s="19" t="inlineStr">
        <is>
          <t>I-002</t>
        </is>
      </c>
      <c r="B13" s="19" t="inlineStr">
        <is>
          <t>Integration</t>
        </is>
      </c>
      <c r="C13" s="19" t="inlineStr">
        <is>
          <t>Integrate with Genesys Cloud CX for interaction context and hand-off.</t>
        </is>
      </c>
      <c r="D13" s="19" t="inlineStr">
        <is>
          <t>High</t>
        </is>
      </c>
      <c r="E13" s="19" t="inlineStr">
        <is>
          <t>Yes</t>
        </is>
      </c>
      <c r="F13" s="6" t="n"/>
      <c r="G13" s="6" t="n"/>
      <c r="H13" s="6" t="n"/>
      <c r="I13" s="6" t="n"/>
      <c r="J13" s="6" t="n"/>
    </row>
    <row r="14" ht="36" customHeight="1" s="21">
      <c r="A14" s="19" t="inlineStr">
        <is>
          <t>I-003</t>
        </is>
      </c>
      <c r="B14" s="19" t="inlineStr">
        <is>
          <t>Integration</t>
        </is>
      </c>
      <c r="C14" s="19" t="inlineStr">
        <is>
          <t>Support event and batch integration with Microsoft Fabric.</t>
        </is>
      </c>
      <c r="D14" s="19" t="inlineStr">
        <is>
          <t>Medium</t>
        </is>
      </c>
      <c r="E14" s="19" t="inlineStr">
        <is>
          <t>No</t>
        </is>
      </c>
      <c r="F14" s="6" t="n"/>
      <c r="G14" s="6" t="n"/>
      <c r="H14" s="6" t="n"/>
      <c r="I14" s="6" t="n"/>
      <c r="J14" s="6" t="n"/>
    </row>
    <row r="15" ht="36" customHeight="1" s="21">
      <c r="A15" s="19" t="inlineStr">
        <is>
          <t>D-001</t>
        </is>
      </c>
      <c r="B15" s="19" t="inlineStr">
        <is>
          <t>Data</t>
        </is>
      </c>
      <c r="C15" s="19" t="inlineStr">
        <is>
          <t>Support UK data residency for production customer content.</t>
        </is>
      </c>
      <c r="D15" s="19" t="inlineStr">
        <is>
          <t>High</t>
        </is>
      </c>
      <c r="E15" s="19" t="inlineStr">
        <is>
          <t>Yes</t>
        </is>
      </c>
      <c r="F15" s="6" t="n"/>
      <c r="G15" s="6" t="n"/>
      <c r="H15" s="6" t="n"/>
      <c r="I15" s="6" t="n"/>
      <c r="J15" s="6" t="n"/>
    </row>
    <row r="16" ht="36" customHeight="1" s="21">
      <c r="A16" s="19" t="inlineStr">
        <is>
          <t>D-002</t>
        </is>
      </c>
      <c r="B16" s="19" t="inlineStr">
        <is>
          <t>Data</t>
        </is>
      </c>
      <c r="C16" s="19" t="inlineStr">
        <is>
          <t>Allow configurable retention and deletion by data class.</t>
        </is>
      </c>
      <c r="D16" s="19" t="inlineStr">
        <is>
          <t>High</t>
        </is>
      </c>
      <c r="E16" s="19" t="inlineStr">
        <is>
          <t>Yes</t>
        </is>
      </c>
      <c r="F16" s="6" t="n"/>
      <c r="G16" s="6" t="n"/>
      <c r="H16" s="6" t="n"/>
      <c r="I16" s="6" t="n"/>
      <c r="J16" s="6" t="n"/>
    </row>
    <row r="17" ht="36" customHeight="1" s="21">
      <c r="A17" s="19" t="inlineStr">
        <is>
          <t>AI-001</t>
        </is>
      </c>
      <c r="B17" s="19" t="inlineStr">
        <is>
          <t>Responsible AI</t>
        </is>
      </c>
      <c r="C17" s="19" t="inlineStr">
        <is>
          <t>Maintain evaluation sets and version history for production AI behaviours.</t>
        </is>
      </c>
      <c r="D17" s="19" t="inlineStr">
        <is>
          <t>High</t>
        </is>
      </c>
      <c r="E17" s="19" t="inlineStr">
        <is>
          <t>Yes</t>
        </is>
      </c>
      <c r="F17" s="6" t="n"/>
      <c r="G17" s="6" t="n"/>
      <c r="H17" s="6" t="n"/>
      <c r="I17" s="6" t="n"/>
      <c r="J17" s="6" t="n"/>
    </row>
    <row r="18" ht="36" customHeight="1" s="21">
      <c r="A18" s="19" t="inlineStr">
        <is>
          <t>AI-002</t>
        </is>
      </c>
      <c r="B18" s="19" t="inlineStr">
        <is>
          <t>Responsible AI</t>
        </is>
      </c>
      <c r="C18" s="19" t="inlineStr">
        <is>
          <t>Provide configurable human approval for customer-impacting actions.</t>
        </is>
      </c>
      <c r="D18" s="19" t="inlineStr">
        <is>
          <t>High</t>
        </is>
      </c>
      <c r="E18" s="19" t="inlineStr">
        <is>
          <t>Yes</t>
        </is>
      </c>
      <c r="F18" s="6" t="n"/>
      <c r="G18" s="6" t="n"/>
      <c r="H18" s="6" t="n"/>
      <c r="I18" s="6" t="n"/>
      <c r="J18" s="6" t="n"/>
    </row>
    <row r="19" ht="36" customHeight="1" s="21">
      <c r="A19" s="19" t="inlineStr">
        <is>
          <t>AI-003</t>
        </is>
      </c>
      <c r="B19" s="19" t="inlineStr">
        <is>
          <t>Responsible AI</t>
        </is>
      </c>
      <c r="C19" s="19" t="inlineStr">
        <is>
          <t>Detect and monitor groundedness, harmful output and performance drift.</t>
        </is>
      </c>
      <c r="D19" s="19" t="inlineStr">
        <is>
          <t>High</t>
        </is>
      </c>
      <c r="E19" s="19" t="inlineStr">
        <is>
          <t>Yes</t>
        </is>
      </c>
      <c r="F19" s="6" t="n"/>
      <c r="G19" s="6" t="n"/>
      <c r="H19" s="6" t="n"/>
      <c r="I19" s="6" t="n"/>
      <c r="J19" s="6" t="n"/>
    </row>
    <row r="20" ht="36" customHeight="1" s="21">
      <c r="A20" s="19" t="inlineStr">
        <is>
          <t>S-001</t>
        </is>
      </c>
      <c r="B20" s="19" t="inlineStr">
        <is>
          <t>Service</t>
        </is>
      </c>
      <c r="C20" s="19" t="inlineStr">
        <is>
          <t>Provide service monitoring, incident management and support SLAs.</t>
        </is>
      </c>
      <c r="D20" s="19" t="inlineStr">
        <is>
          <t>High</t>
        </is>
      </c>
      <c r="E20" s="19" t="inlineStr">
        <is>
          <t>Yes</t>
        </is>
      </c>
      <c r="F20" s="6" t="n"/>
      <c r="G20" s="6" t="n"/>
      <c r="H20" s="6" t="n"/>
      <c r="I20" s="6" t="n"/>
      <c r="J20" s="6" t="n"/>
    </row>
    <row r="21" ht="36" customHeight="1" s="21">
      <c r="A21" s="19" t="inlineStr">
        <is>
          <t>S-002</t>
        </is>
      </c>
      <c r="B21" s="19" t="inlineStr">
        <is>
          <t>Service</t>
        </is>
      </c>
      <c r="C21" s="19" t="inlineStr">
        <is>
          <t>Provide exportable audit records for user, admin and AI activity.</t>
        </is>
      </c>
      <c r="D21" s="19" t="inlineStr">
        <is>
          <t>High</t>
        </is>
      </c>
      <c r="E21" s="19" t="inlineStr">
        <is>
          <t>Yes</t>
        </is>
      </c>
      <c r="F21" s="6" t="n"/>
      <c r="G21" s="6" t="n"/>
      <c r="H21" s="6" t="n"/>
      <c r="I21" s="6" t="n"/>
      <c r="J21" s="6" t="n"/>
    </row>
    <row r="22" ht="36" customHeight="1" s="21">
      <c r="A22" s="19" t="inlineStr">
        <is>
          <t>C-001</t>
        </is>
      </c>
      <c r="B22" s="19" t="inlineStr">
        <is>
          <t>Change</t>
        </is>
      </c>
      <c r="C22" s="19" t="inlineStr">
        <is>
          <t>Provide role-based training and adoption measurement.</t>
        </is>
      </c>
      <c r="D22" s="19" t="inlineStr">
        <is>
          <t>Medium</t>
        </is>
      </c>
      <c r="E22" s="19" t="inlineStr">
        <is>
          <t>No</t>
        </is>
      </c>
      <c r="F22" s="6" t="n"/>
      <c r="G22" s="6" t="n"/>
      <c r="H22" s="6" t="n"/>
      <c r="I22" s="6" t="n"/>
      <c r="J22" s="6" t="n"/>
    </row>
    <row r="23" ht="36" customHeight="1" s="21">
      <c r="A23" s="19" t="inlineStr">
        <is>
          <t>C-002</t>
        </is>
      </c>
      <c r="B23" s="19" t="inlineStr">
        <is>
          <t>Change</t>
        </is>
      </c>
      <c r="C23" s="19" t="inlineStr">
        <is>
          <t>Provide knowledge transfer and operational runbooks before transition.</t>
        </is>
      </c>
      <c r="D23" s="19" t="inlineStr">
        <is>
          <t>High</t>
        </is>
      </c>
      <c r="E23" s="19" t="inlineStr">
        <is>
          <t>Yes</t>
        </is>
      </c>
      <c r="F23" s="6" t="n"/>
      <c r="G23" s="6" t="n"/>
      <c r="H23" s="6" t="n"/>
      <c r="I23" s="6" t="n"/>
      <c r="J23" s="6" t="n"/>
    </row>
    <row r="24" ht="36" customHeight="1" s="21">
      <c r="A24" s="19" t="inlineStr">
        <is>
          <t>S-003</t>
        </is>
      </c>
      <c r="B24" s="19" t="inlineStr">
        <is>
          <t>Service</t>
        </is>
      </c>
      <c r="C24" s="19" t="inlineStr">
        <is>
          <t>Commit to 99.99% monthly availability for all production AI services, with service credits.</t>
        </is>
      </c>
      <c r="D24" s="19" t="inlineStr">
        <is>
          <t>High</t>
        </is>
      </c>
      <c r="E24" s="19" t="inlineStr">
        <is>
          <t>Yes</t>
        </is>
      </c>
      <c r="F24" s="6" t="n"/>
      <c r="G24" s="6" t="n"/>
      <c r="H24" s="6" t="n"/>
      <c r="I24" s="6" t="n"/>
      <c r="J24" s="6" t="n"/>
    </row>
    <row r="25" ht="36" customHeight="1" s="21">
      <c r="A25" s="19" t="inlineStr">
        <is>
          <t>D-003</t>
        </is>
      </c>
      <c r="B25" s="19" t="inlineStr">
        <is>
          <t>Data</t>
        </is>
      </c>
      <c r="C25" s="19" t="inlineStr">
        <is>
          <t>Customer data must never leave the UK, including access by support personnel.</t>
        </is>
      </c>
      <c r="D25" s="19" t="inlineStr">
        <is>
          <t>High</t>
        </is>
      </c>
      <c r="E25" s="19" t="inlineStr">
        <is>
          <t>Yes</t>
        </is>
      </c>
      <c r="F25" s="6" t="n"/>
      <c r="G25" s="6" t="n"/>
      <c r="H25" s="6" t="n"/>
      <c r="I25" s="6" t="n"/>
      <c r="J25" s="6" t="n"/>
    </row>
    <row r="26" ht="36" customHeight="1" s="21">
      <c r="A26" s="19" t="inlineStr">
        <is>
          <t>AI-004</t>
        </is>
      </c>
      <c r="B26" s="19" t="inlineStr">
        <is>
          <t>Responsible AI</t>
        </is>
      </c>
      <c r="C26" s="19" t="inlineStr">
        <is>
          <t>Enable fully autonomous refunds of any value without human approval.</t>
        </is>
      </c>
      <c r="D26" s="19" t="inlineStr">
        <is>
          <t>Medium</t>
        </is>
      </c>
      <c r="E26" s="19" t="inlineStr">
        <is>
          <t>No</t>
        </is>
      </c>
      <c r="F26" s="6" t="n"/>
      <c r="G26" s="6" t="n"/>
      <c r="H26" s="6" t="n"/>
      <c r="I26" s="6" t="n"/>
      <c r="J26" s="6" t="n"/>
    </row>
    <row r="27" ht="36" customHeight="1" s="21">
      <c r="A27" s="19" t="inlineStr">
        <is>
          <t>C-003</t>
        </is>
      </c>
      <c r="B27" s="19" t="inlineStr">
        <is>
          <t>Commercial</t>
        </is>
      </c>
      <c r="C27" s="19" t="inlineStr">
        <is>
          <t>Provide a fixed price covering an unlimited number of AI use cases.</t>
        </is>
      </c>
      <c r="D27" s="19" t="inlineStr">
        <is>
          <t>High</t>
        </is>
      </c>
      <c r="E27" s="19" t="inlineStr">
        <is>
          <t>Yes</t>
        </is>
      </c>
      <c r="F27" s="6" t="n"/>
      <c r="G27" s="6" t="n"/>
      <c r="H27" s="6" t="n"/>
      <c r="I27" s="6" t="n"/>
      <c r="J27" s="6" t="n"/>
    </row>
  </sheetData>
  <autoFilter ref="A3:J23"/>
  <mergeCells count="2">
    <mergeCell ref="A1:J1"/>
    <mergeCell ref="A2:J2"/>
  </mergeCells>
  <dataValidations count="2">
    <dataValidation sqref="F4:F27" showDropDown="0" showInputMessage="0" showErrorMessage="0" allowBlank="1" type="list">
      <formula1>"Comply,Partially Comply,Do Not Comply,Not Applicable"</formula1>
    </dataValidation>
    <dataValidation sqref="D4:D27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21" min="1" max="1"/>
    <col width="18" customWidth="1" style="21" min="2" max="2"/>
    <col width="58" customWidth="1" style="21" min="3" max="3"/>
    <col width="12" customWidth="1" style="21" min="4" max="4"/>
    <col width="42" customWidth="1" style="21" min="5" max="5"/>
    <col width="30" customWidth="1" style="21" min="6" max="6"/>
    <col width="32" customWidth="1" style="21" min="7" max="7"/>
    <col width="18" customWidth="1" style="21" min="8" max="8"/>
    <col width="16" customWidth="1" style="21" min="9" max="9"/>
    <col width="30" customWidth="1" style="21" min="10" max="10"/>
  </cols>
  <sheetData>
    <row r="1" ht="30" customHeight="1" s="21">
      <c r="A1" s="18" t="inlineStr">
        <is>
          <t>Exhibit B | Security Questionnaire</t>
        </is>
      </c>
    </row>
    <row r="2" ht="27.95" customHeight="1" s="21">
      <c r="A2" s="20" t="inlineStr">
        <is>
          <t>Provide clear answers and reference available assurance evidence.</t>
        </is>
      </c>
    </row>
    <row r="3" ht="30" customHeight="1" s="21">
      <c r="A3" s="5" t="inlineStr">
        <is>
          <t>ID</t>
        </is>
      </c>
      <c r="B3" s="5" t="inlineStr">
        <is>
          <t>Domain</t>
        </is>
      </c>
      <c r="C3" s="5" t="inlineStr">
        <is>
          <t>Question</t>
        </is>
      </c>
      <c r="D3" s="5" t="inlineStr">
        <is>
          <t>Mandatory</t>
        </is>
      </c>
      <c r="E3" s="5" t="inlineStr">
        <is>
          <t>Supplier Answer</t>
        </is>
      </c>
      <c r="F3" s="5" t="inlineStr">
        <is>
          <t>Evidence / Certification</t>
        </is>
      </c>
      <c r="G3" s="5" t="inlineStr">
        <is>
          <t>Exception / Remediation</t>
        </is>
      </c>
      <c r="H3" s="5" t="inlineStr">
        <is>
          <t>Owner</t>
        </is>
      </c>
      <c r="I3" s="5" t="inlineStr">
        <is>
          <t>Status</t>
        </is>
      </c>
      <c r="J3" s="5" t="inlineStr">
        <is>
          <t>Reviewer Notes</t>
        </is>
      </c>
    </row>
    <row r="4" ht="36" customHeight="1" s="21">
      <c r="A4" s="19" t="inlineStr">
        <is>
          <t>SEC-001</t>
        </is>
      </c>
      <c r="B4" s="19" t="inlineStr">
        <is>
          <t>Identity</t>
        </is>
      </c>
      <c r="C4" s="19" t="inlineStr">
        <is>
          <t>Does the service support SAML/OIDC SSO and Microsoft Entra ID integration?</t>
        </is>
      </c>
      <c r="D4" s="19" t="inlineStr">
        <is>
          <t>Yes</t>
        </is>
      </c>
      <c r="E4" s="6" t="n"/>
      <c r="F4" s="6" t="n"/>
      <c r="G4" s="6" t="n"/>
      <c r="H4" s="6" t="n"/>
      <c r="I4" s="6" t="n"/>
      <c r="J4" s="19" t="n"/>
    </row>
    <row r="5" ht="36" customHeight="1" s="21">
      <c r="A5" s="19" t="inlineStr">
        <is>
          <t>SEC-002</t>
        </is>
      </c>
      <c r="B5" s="19" t="inlineStr">
        <is>
          <t>Access</t>
        </is>
      </c>
      <c r="C5" s="19" t="inlineStr">
        <is>
          <t>Describe role-based access and privileged administration controls.</t>
        </is>
      </c>
      <c r="D5" s="19" t="inlineStr">
        <is>
          <t>Yes</t>
        </is>
      </c>
      <c r="E5" s="6" t="n"/>
      <c r="F5" s="6" t="n"/>
      <c r="G5" s="6" t="n"/>
      <c r="H5" s="6" t="n"/>
      <c r="I5" s="6" t="n"/>
      <c r="J5" s="19" t="n"/>
    </row>
    <row r="6" ht="36" customHeight="1" s="21">
      <c r="A6" s="19" t="inlineStr">
        <is>
          <t>SEC-003</t>
        </is>
      </c>
      <c r="B6" s="19" t="inlineStr">
        <is>
          <t>Encryption</t>
        </is>
      </c>
      <c r="C6" s="19" t="inlineStr">
        <is>
          <t>Confirm encryption in transit and at rest, including key-management options.</t>
        </is>
      </c>
      <c r="D6" s="19" t="inlineStr">
        <is>
          <t>Yes</t>
        </is>
      </c>
      <c r="E6" s="6" t="n"/>
      <c r="F6" s="6" t="n"/>
      <c r="G6" s="6" t="n"/>
      <c r="H6" s="6" t="n"/>
      <c r="I6" s="6" t="n"/>
      <c r="J6" s="19" t="n"/>
    </row>
    <row r="7" ht="36" customHeight="1" s="21">
      <c r="A7" s="19" t="inlineStr">
        <is>
          <t>SEC-004</t>
        </is>
      </c>
      <c r="B7" s="19" t="inlineStr">
        <is>
          <t>Audit</t>
        </is>
      </c>
      <c r="C7" s="19" t="inlineStr">
        <is>
          <t>Describe audit logging, retention and export capabilities.</t>
        </is>
      </c>
      <c r="D7" s="19" t="inlineStr">
        <is>
          <t>Yes</t>
        </is>
      </c>
      <c r="E7" s="6" t="n"/>
      <c r="F7" s="6" t="n"/>
      <c r="G7" s="6" t="n"/>
      <c r="H7" s="6" t="n"/>
      <c r="I7" s="6" t="n"/>
      <c r="J7" s="19" t="n"/>
    </row>
    <row r="8" ht="36" customHeight="1" s="21">
      <c r="A8" s="19" t="inlineStr">
        <is>
          <t>SEC-005</t>
        </is>
      </c>
      <c r="B8" s="19" t="inlineStr">
        <is>
          <t>Data Protection</t>
        </is>
      </c>
      <c r="C8" s="19" t="inlineStr">
        <is>
          <t>Describe data location, subprocessors and cross-border transfer controls.</t>
        </is>
      </c>
      <c r="D8" s="19" t="inlineStr">
        <is>
          <t>Yes</t>
        </is>
      </c>
      <c r="E8" s="6" t="n"/>
      <c r="F8" s="6" t="n"/>
      <c r="G8" s="6" t="n"/>
      <c r="H8" s="6" t="n"/>
      <c r="I8" s="6" t="n"/>
      <c r="J8" s="19" t="n"/>
    </row>
    <row r="9" ht="36" customHeight="1" s="21">
      <c r="A9" s="19" t="inlineStr">
        <is>
          <t>SEC-006</t>
        </is>
      </c>
      <c r="B9" s="19" t="inlineStr">
        <is>
          <t>Privacy</t>
        </is>
      </c>
      <c r="C9" s="19" t="inlineStr">
        <is>
          <t>Explain support for access, deletion and retention obligations.</t>
        </is>
      </c>
      <c r="D9" s="19" t="inlineStr">
        <is>
          <t>Yes</t>
        </is>
      </c>
      <c r="E9" s="6" t="n"/>
      <c r="F9" s="6" t="n"/>
      <c r="G9" s="6" t="n"/>
      <c r="H9" s="6" t="n"/>
      <c r="I9" s="6" t="n"/>
      <c r="J9" s="19" t="n"/>
    </row>
    <row r="10" ht="36" customHeight="1" s="21">
      <c r="A10" s="19" t="inlineStr">
        <is>
          <t>SEC-007</t>
        </is>
      </c>
      <c r="B10" s="19" t="inlineStr">
        <is>
          <t>AI Data Use</t>
        </is>
      </c>
      <c r="C10" s="19" t="inlineStr">
        <is>
          <t>Confirm whether client data is used to train shared or foundation models.</t>
        </is>
      </c>
      <c r="D10" s="19" t="inlineStr">
        <is>
          <t>Yes</t>
        </is>
      </c>
      <c r="E10" s="6" t="n"/>
      <c r="F10" s="6" t="n"/>
      <c r="G10" s="6" t="n"/>
      <c r="H10" s="6" t="n"/>
      <c r="I10" s="6" t="n"/>
      <c r="J10" s="19" t="n"/>
    </row>
    <row r="11" ht="36" customHeight="1" s="21">
      <c r="A11" s="19" t="inlineStr">
        <is>
          <t>SEC-008</t>
        </is>
      </c>
      <c r="B11" s="19" t="inlineStr">
        <is>
          <t>Secure SDLC</t>
        </is>
      </c>
      <c r="C11" s="19" t="inlineStr">
        <is>
          <t>Describe vulnerability management, penetration testing and release controls.</t>
        </is>
      </c>
      <c r="D11" s="19" t="inlineStr">
        <is>
          <t>Yes</t>
        </is>
      </c>
      <c r="E11" s="6" t="n"/>
      <c r="F11" s="6" t="n"/>
      <c r="G11" s="6" t="n"/>
      <c r="H11" s="6" t="n"/>
      <c r="I11" s="6" t="n"/>
      <c r="J11" s="19" t="n"/>
    </row>
    <row r="12" ht="36" customHeight="1" s="21">
      <c r="A12" s="19" t="inlineStr">
        <is>
          <t>SEC-009</t>
        </is>
      </c>
      <c r="B12" s="19" t="inlineStr">
        <is>
          <t>Resilience</t>
        </is>
      </c>
      <c r="C12" s="19" t="inlineStr">
        <is>
          <t>State target RTO, RPO, backup approach and resilience testing frequency.</t>
        </is>
      </c>
      <c r="D12" s="19" t="inlineStr">
        <is>
          <t>Yes</t>
        </is>
      </c>
      <c r="E12" s="6" t="n"/>
      <c r="F12" s="6" t="n"/>
      <c r="G12" s="6" t="n"/>
      <c r="H12" s="6" t="n"/>
      <c r="I12" s="6" t="n"/>
      <c r="J12" s="19" t="n"/>
    </row>
    <row r="13" ht="36" customHeight="1" s="21">
      <c r="A13" s="19" t="inlineStr">
        <is>
          <t>SEC-010</t>
        </is>
      </c>
      <c r="B13" s="19" t="inlineStr">
        <is>
          <t>Incident</t>
        </is>
      </c>
      <c r="C13" s="19" t="inlineStr">
        <is>
          <t>Describe security incident notification and response procedures.</t>
        </is>
      </c>
      <c r="D13" s="19" t="inlineStr">
        <is>
          <t>Yes</t>
        </is>
      </c>
      <c r="E13" s="6" t="n"/>
      <c r="F13" s="6" t="n"/>
      <c r="G13" s="6" t="n"/>
      <c r="H13" s="6" t="n"/>
      <c r="I13" s="6" t="n"/>
      <c r="J13" s="19" t="n"/>
    </row>
    <row r="14" ht="36" customHeight="1" s="21">
      <c r="A14" s="19" t="inlineStr">
        <is>
          <t>SEC-011</t>
        </is>
      </c>
      <c r="B14" s="19" t="inlineStr">
        <is>
          <t>Assurance</t>
        </is>
      </c>
      <c r="C14" s="19" t="inlineStr">
        <is>
          <t>List applicable third-party assurance reports or certifications.</t>
        </is>
      </c>
      <c r="D14" s="19" t="inlineStr">
        <is>
          <t>No</t>
        </is>
      </c>
      <c r="E14" s="6" t="n"/>
      <c r="F14" s="6" t="n"/>
      <c r="G14" s="6" t="n"/>
      <c r="H14" s="6" t="n"/>
      <c r="I14" s="6" t="n"/>
      <c r="J14" s="19" t="n"/>
    </row>
    <row r="15" ht="36" customHeight="1" s="21">
      <c r="A15" s="19" t="inlineStr">
        <is>
          <t>SEC-012</t>
        </is>
      </c>
      <c r="B15" s="19" t="inlineStr">
        <is>
          <t>Environment</t>
        </is>
      </c>
      <c r="C15" s="19" t="inlineStr">
        <is>
          <t>Confirm separation of development, test and production environments.</t>
        </is>
      </c>
      <c r="D15" s="19" t="inlineStr">
        <is>
          <t>Yes</t>
        </is>
      </c>
      <c r="E15" s="6" t="n"/>
      <c r="F15" s="6" t="n"/>
      <c r="G15" s="6" t="n"/>
      <c r="H15" s="6" t="n"/>
      <c r="I15" s="6" t="n"/>
      <c r="J15" s="19" t="n"/>
    </row>
  </sheetData>
  <autoFilter ref="A3:J15"/>
  <mergeCells count="2">
    <mergeCell ref="A1:J1"/>
    <mergeCell ref="A2:J2"/>
  </mergeCells>
  <dataValidations count="1">
    <dataValidation sqref="I4:I15" showDropDown="0" showInputMessage="0" showErrorMessage="0" allowBlank="0" type="list">
      <formula1>"Not Started,In Progress,Complete,Exception"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8" customWidth="1" style="21" min="2" max="2"/>
    <col width="38" customWidth="1" style="21" min="3" max="3"/>
    <col width="18" customWidth="1" style="21" min="4" max="4"/>
    <col width="12" customWidth="1" style="21" min="5" max="5"/>
    <col width="16" customWidth="1" style="21" min="6" max="9"/>
    <col width="18" customWidth="1" style="21" min="10" max="10"/>
  </cols>
  <sheetData>
    <row r="1" ht="30" customHeight="1" s="21">
      <c r="A1" s="18" t="inlineStr">
        <is>
          <t>Exhibit C | Pricing</t>
        </is>
      </c>
    </row>
    <row r="2" ht="27.95" customHeight="1" s="21">
      <c r="A2" s="20" t="inlineStr">
        <is>
          <t>Enter blue-font inputs. Extended totals and five-year totals calculate automatically.</t>
        </is>
      </c>
    </row>
    <row r="3" ht="30" customHeight="1" s="21">
      <c r="A3" s="5" t="inlineStr">
        <is>
          <t>ID</t>
        </is>
      </c>
      <c r="B3" s="5" t="inlineStr">
        <is>
          <t>Cost Category</t>
        </is>
      </c>
      <c r="C3" s="5" t="inlineStr">
        <is>
          <t>Item</t>
        </is>
      </c>
      <c r="D3" s="5" t="inlineStr">
        <is>
          <t>Unit</t>
        </is>
      </c>
      <c r="E3" s="5" t="inlineStr">
        <is>
          <t>Quantity</t>
        </is>
      </c>
      <c r="F3" s="5" t="inlineStr">
        <is>
          <t>Unit Price (£)</t>
        </is>
      </c>
      <c r="G3" s="5" t="inlineStr">
        <is>
          <t>Year 1 (£)</t>
        </is>
      </c>
      <c r="H3" s="5" t="inlineStr">
        <is>
          <t>Year 2 (£)</t>
        </is>
      </c>
      <c r="I3" s="5" t="inlineStr">
        <is>
          <t>Year 3 (£)</t>
        </is>
      </c>
      <c r="J3" s="5" t="inlineStr">
        <is>
          <t>5-Year Total (£)</t>
        </is>
      </c>
    </row>
    <row r="4" ht="36" customHeight="1" s="21">
      <c r="A4" s="19" t="inlineStr">
        <is>
          <t>P-001</t>
        </is>
      </c>
      <c r="B4" s="19" t="inlineStr">
        <is>
          <t>Implementation</t>
        </is>
      </c>
      <c r="C4" s="19" t="inlineStr">
        <is>
          <t>Discovery and service design</t>
        </is>
      </c>
      <c r="D4" s="19" t="inlineStr">
        <is>
          <t>Fixed fee</t>
        </is>
      </c>
      <c r="E4" s="7" t="n">
        <v>1</v>
      </c>
      <c r="F4" s="8" t="n"/>
      <c r="G4" s="7">
        <f>E4*F4</f>
        <v/>
      </c>
      <c r="H4" s="7">
        <f>IF(B4="Implementation",0,G4)</f>
        <v/>
      </c>
      <c r="I4" s="7">
        <f>IF(B4="Implementation",0,H4)</f>
        <v/>
      </c>
      <c r="J4" s="7">
        <f>SUM(G4:I4)+IF(B4="Implementation",0,H4*2)</f>
        <v/>
      </c>
    </row>
    <row r="5" ht="36" customHeight="1" s="21">
      <c r="A5" s="19" t="inlineStr">
        <is>
          <t>P-002</t>
        </is>
      </c>
      <c r="B5" s="19" t="inlineStr">
        <is>
          <t>Implementation</t>
        </is>
      </c>
      <c r="C5" s="19" t="inlineStr">
        <is>
          <t>Solution design and architecture</t>
        </is>
      </c>
      <c r="D5" s="19" t="inlineStr">
        <is>
          <t>Fixed fee</t>
        </is>
      </c>
      <c r="E5" s="7" t="n">
        <v>1</v>
      </c>
      <c r="F5" s="8" t="n"/>
      <c r="G5" s="7">
        <f>E5*F5</f>
        <v/>
      </c>
      <c r="H5" s="7">
        <f>IF(B5="Implementation",0,G5)</f>
        <v/>
      </c>
      <c r="I5" s="7">
        <f>IF(B5="Implementation",0,H5)</f>
        <v/>
      </c>
      <c r="J5" s="7">
        <f>SUM(G5:I5)+IF(B5="Implementation",0,H5*2)</f>
        <v/>
      </c>
    </row>
    <row r="6" ht="36" customHeight="1" s="21">
      <c r="A6" s="19" t="inlineStr">
        <is>
          <t>P-003</t>
        </is>
      </c>
      <c r="B6" s="19" t="inlineStr">
        <is>
          <t>Implementation</t>
        </is>
      </c>
      <c r="C6" s="19" t="inlineStr">
        <is>
          <t>Build and integration</t>
        </is>
      </c>
      <c r="D6" s="19" t="inlineStr">
        <is>
          <t>Fixed fee</t>
        </is>
      </c>
      <c r="E6" s="7" t="n">
        <v>1</v>
      </c>
      <c r="F6" s="8" t="n"/>
      <c r="G6" s="7">
        <f>E6*F6</f>
        <v/>
      </c>
      <c r="H6" s="7">
        <f>IF(B6="Implementation",0,G6)</f>
        <v/>
      </c>
      <c r="I6" s="7">
        <f>IF(B6="Implementation",0,H6)</f>
        <v/>
      </c>
      <c r="J6" s="7">
        <f>SUM(G6:I6)+IF(B6="Implementation",0,H6*2)</f>
        <v/>
      </c>
    </row>
    <row r="7" ht="36" customHeight="1" s="21">
      <c r="A7" s="19" t="inlineStr">
        <is>
          <t>P-004</t>
        </is>
      </c>
      <c r="B7" s="19" t="inlineStr">
        <is>
          <t>Implementation</t>
        </is>
      </c>
      <c r="C7" s="19" t="inlineStr">
        <is>
          <t>Pilot deployment</t>
        </is>
      </c>
      <c r="D7" s="19" t="inlineStr">
        <is>
          <t>Fixed fee</t>
        </is>
      </c>
      <c r="E7" s="7" t="n">
        <v>1</v>
      </c>
      <c r="F7" s="8" t="n"/>
      <c r="G7" s="7">
        <f>E7*F7</f>
        <v/>
      </c>
      <c r="H7" s="7">
        <f>IF(B7="Implementation",0,G7)</f>
        <v/>
      </c>
      <c r="I7" s="7">
        <f>IF(B7="Implementation",0,H7)</f>
        <v/>
      </c>
      <c r="J7" s="7">
        <f>SUM(G7:I7)+IF(B7="Implementation",0,H7*2)</f>
        <v/>
      </c>
    </row>
    <row r="8" ht="36" customHeight="1" s="21">
      <c r="A8" s="19" t="inlineStr">
        <is>
          <t>P-005</t>
        </is>
      </c>
      <c r="B8" s="19" t="inlineStr">
        <is>
          <t>Implementation</t>
        </is>
      </c>
      <c r="C8" s="19" t="inlineStr">
        <is>
          <t>Training and change support</t>
        </is>
      </c>
      <c r="D8" s="19" t="inlineStr">
        <is>
          <t>Fixed fee</t>
        </is>
      </c>
      <c r="E8" s="7" t="n">
        <v>1</v>
      </c>
      <c r="F8" s="8" t="n"/>
      <c r="G8" s="7">
        <f>E8*F8</f>
        <v/>
      </c>
      <c r="H8" s="7">
        <f>IF(B8="Implementation",0,G8)</f>
        <v/>
      </c>
      <c r="I8" s="7">
        <f>IF(B8="Implementation",0,H8)</f>
        <v/>
      </c>
      <c r="J8" s="7">
        <f>SUM(G8:I8)+IF(B8="Implementation",0,H8*2)</f>
        <v/>
      </c>
    </row>
    <row r="9" ht="36" customHeight="1" s="21">
      <c r="A9" s="19" t="inlineStr">
        <is>
          <t>P-006</t>
        </is>
      </c>
      <c r="B9" s="19" t="inlineStr">
        <is>
          <t>Subscription</t>
        </is>
      </c>
      <c r="C9" s="19" t="inlineStr">
        <is>
          <t>Agent-assist user licence</t>
        </is>
      </c>
      <c r="D9" s="19" t="inlineStr">
        <is>
          <t>User / year</t>
        </is>
      </c>
      <c r="E9" s="7" t="n">
        <v>500</v>
      </c>
      <c r="F9" s="8" t="n"/>
      <c r="G9" s="7">
        <f>E9*F9</f>
        <v/>
      </c>
      <c r="H9" s="7">
        <f>IF(B9="Implementation",0,G9)</f>
        <v/>
      </c>
      <c r="I9" s="7">
        <f>IF(B9="Implementation",0,H9)</f>
        <v/>
      </c>
      <c r="J9" s="7">
        <f>SUM(G9:I9)+IF(B9="Implementation",0,H9*2)</f>
        <v/>
      </c>
    </row>
    <row r="10" ht="36" customHeight="1" s="21">
      <c r="A10" s="19" t="inlineStr">
        <is>
          <t>P-007</t>
        </is>
      </c>
      <c r="B10" s="19" t="inlineStr">
        <is>
          <t>Subscription</t>
        </is>
      </c>
      <c r="C10" s="19" t="inlineStr">
        <is>
          <t>Customer self-service platform</t>
        </is>
      </c>
      <c r="D10" s="19" t="inlineStr">
        <is>
          <t>Year</t>
        </is>
      </c>
      <c r="E10" s="7" t="n">
        <v>1</v>
      </c>
      <c r="F10" s="8" t="n"/>
      <c r="G10" s="7">
        <f>E10*F10</f>
        <v/>
      </c>
      <c r="H10" s="7">
        <f>IF(B10="Implementation",0,G10)</f>
        <v/>
      </c>
      <c r="I10" s="7">
        <f>IF(B10="Implementation",0,H10)</f>
        <v/>
      </c>
      <c r="J10" s="7">
        <f>SUM(G10:I10)+IF(B10="Implementation",0,H10*2)</f>
        <v/>
      </c>
    </row>
    <row r="11" ht="36" customHeight="1" s="21">
      <c r="A11" s="19" t="inlineStr">
        <is>
          <t>P-008</t>
        </is>
      </c>
      <c r="B11" s="19" t="inlineStr">
        <is>
          <t>Usage</t>
        </is>
      </c>
      <c r="C11" s="19" t="inlineStr">
        <is>
          <t>AI processing allowance</t>
        </is>
      </c>
      <c r="D11" s="19" t="inlineStr">
        <is>
          <t>1m interactions</t>
        </is>
      </c>
      <c r="E11" s="7" t="n">
        <v>3</v>
      </c>
      <c r="F11" s="8" t="n"/>
      <c r="G11" s="7">
        <f>E11*F11</f>
        <v/>
      </c>
      <c r="H11" s="7">
        <f>IF(B11="Implementation",0,G11)</f>
        <v/>
      </c>
      <c r="I11" s="7">
        <f>IF(B11="Implementation",0,H11)</f>
        <v/>
      </c>
      <c r="J11" s="7">
        <f>SUM(G11:I11)+IF(B11="Implementation",0,H11*2)</f>
        <v/>
      </c>
    </row>
    <row r="12" ht="36" customHeight="1" s="21">
      <c r="A12" s="19" t="inlineStr">
        <is>
          <t>P-009</t>
        </is>
      </c>
      <c r="B12" s="19" t="inlineStr">
        <is>
          <t>Service</t>
        </is>
      </c>
      <c r="C12" s="19" t="inlineStr">
        <is>
          <t>Managed service and optimisation</t>
        </is>
      </c>
      <c r="D12" s="19" t="inlineStr">
        <is>
          <t>Year</t>
        </is>
      </c>
      <c r="E12" s="7" t="n">
        <v>1</v>
      </c>
      <c r="F12" s="8" t="n"/>
      <c r="G12" s="7">
        <f>E12*F12</f>
        <v/>
      </c>
      <c r="H12" s="7">
        <f>IF(B12="Implementation",0,G12)</f>
        <v/>
      </c>
      <c r="I12" s="7">
        <f>IF(B12="Implementation",0,H12)</f>
        <v/>
      </c>
      <c r="J12" s="7">
        <f>SUM(G12:I12)+IF(B12="Implementation",0,H12*2)</f>
        <v/>
      </c>
    </row>
    <row r="13" ht="36" customHeight="1" s="21">
      <c r="A13" s="19" t="inlineStr">
        <is>
          <t>P-010</t>
        </is>
      </c>
      <c r="B13" s="19" t="inlineStr">
        <is>
          <t>Optional</t>
        </is>
      </c>
      <c r="C13" s="19" t="inlineStr">
        <is>
          <t>Additional use-case sprint</t>
        </is>
      </c>
      <c r="D13" s="19" t="inlineStr">
        <is>
          <t>Sprint</t>
        </is>
      </c>
      <c r="E13" s="7" t="n">
        <v>4</v>
      </c>
      <c r="F13" s="8" t="n"/>
      <c r="G13" s="7">
        <f>E13*F13</f>
        <v/>
      </c>
      <c r="H13" s="7">
        <f>IF(B13="Implementation",0,G13)</f>
        <v/>
      </c>
      <c r="I13" s="7">
        <f>IF(B13="Implementation",0,H13)</f>
        <v/>
      </c>
      <c r="J13" s="7">
        <f>SUM(G13:I13)+IF(B13="Implementation",0,H13*2)</f>
        <v/>
      </c>
    </row>
    <row r="14" ht="36" customHeight="1" s="21">
      <c r="A14" s="19" t="n"/>
      <c r="B14" s="19" t="n"/>
      <c r="C14" s="9" t="inlineStr">
        <is>
          <t>TOTAL</t>
        </is>
      </c>
      <c r="D14" s="9" t="n"/>
      <c r="E14" s="10" t="n"/>
      <c r="F14" s="10" t="n"/>
      <c r="G14" s="10">
        <f>SUM(G4:G13)</f>
        <v/>
      </c>
      <c r="H14" s="10">
        <f>SUM(H4:H13)</f>
        <v/>
      </c>
      <c r="I14" s="10">
        <f>SUM(I4:I13)</f>
        <v/>
      </c>
      <c r="J14" s="10">
        <f>SUM(J4:J13)</f>
        <v/>
      </c>
    </row>
  </sheetData>
  <autoFilter ref="A3:J13"/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34" customWidth="1" style="21" min="2" max="2"/>
    <col width="14" customWidth="1" style="21" min="3" max="3"/>
    <col width="16" customWidth="1" style="21" min="4" max="4"/>
    <col width="20" customWidth="1" style="21" min="5" max="5"/>
    <col width="22" customWidth="1" style="21" min="6" max="6"/>
    <col width="35" customWidth="1" style="21" min="7" max="7"/>
    <col width="24" customWidth="1" style="21" min="8" max="8"/>
    <col width="16" customWidth="1" style="21" min="9" max="9"/>
    <col width="28" customWidth="1" style="21" min="10" max="10"/>
  </cols>
  <sheetData>
    <row r="1" ht="30" customHeight="1" s="21">
      <c r="A1" s="18" t="inlineStr">
        <is>
          <t>Volumes &amp; Commercial Assumptions</t>
        </is>
      </c>
    </row>
    <row r="2" ht="27.95" customHeight="1" s="21">
      <c r="A2" s="20" t="inlineStr">
        <is>
          <t>Client-provided synthetic baseline for comparable pricing.</t>
        </is>
      </c>
    </row>
    <row r="3" ht="30" customHeight="1" s="21">
      <c r="A3" s="5" t="inlineStr">
        <is>
          <t>ID</t>
        </is>
      </c>
      <c r="B3" s="5" t="inlineStr">
        <is>
          <t>Metric</t>
        </is>
      </c>
      <c r="C3" s="5" t="inlineStr">
        <is>
          <t>Baseline</t>
        </is>
      </c>
      <c r="D3" s="5" t="inlineStr">
        <is>
          <t>Unit</t>
        </is>
      </c>
      <c r="E3" s="5" t="inlineStr">
        <is>
          <t>Growth / Change</t>
        </is>
      </c>
      <c r="F3" s="5" t="inlineStr">
        <is>
          <t>Pricing Treatment</t>
        </is>
      </c>
      <c r="G3" s="5" t="inlineStr">
        <is>
          <t>Supplier Assumption</t>
        </is>
      </c>
      <c r="H3" s="5" t="inlineStr">
        <is>
          <t>Source Note</t>
        </is>
      </c>
      <c r="I3" s="5" t="inlineStr">
        <is>
          <t>Status</t>
        </is>
      </c>
      <c r="J3" s="5" t="inlineStr">
        <is>
          <t>Comments</t>
        </is>
      </c>
    </row>
    <row r="4" ht="36" customHeight="1" s="21">
      <c r="A4" s="19" t="inlineStr">
        <is>
          <t>V-001</t>
        </is>
      </c>
      <c r="B4" s="19" t="inlineStr">
        <is>
          <t>Named contact-centre agents</t>
        </is>
      </c>
      <c r="C4" s="19" t="n">
        <v>500</v>
      </c>
      <c r="D4" s="19" t="inlineStr">
        <is>
          <t>users</t>
        </is>
      </c>
      <c r="E4" s="19" t="inlineStr">
        <is>
          <t>5% annually</t>
        </is>
      </c>
      <c r="F4" s="19" t="inlineStr">
        <is>
          <t>Licence baseline</t>
        </is>
      </c>
      <c r="G4" s="6" t="n"/>
      <c r="H4" s="11" t="inlineStr">
        <is>
          <t>Synthetic client assumption</t>
        </is>
      </c>
      <c r="I4" s="19" t="n"/>
      <c r="J4" s="19" t="n"/>
    </row>
    <row r="5" ht="36" customHeight="1" s="21">
      <c r="A5" s="19" t="inlineStr">
        <is>
          <t>V-002</t>
        </is>
      </c>
      <c r="B5" s="19" t="inlineStr">
        <is>
          <t>Annual customer interactions</t>
        </is>
      </c>
      <c r="C5" s="19" t="n">
        <v>3000000</v>
      </c>
      <c r="D5" s="19" t="inlineStr">
        <is>
          <t>interactions</t>
        </is>
      </c>
      <c r="E5" s="19" t="inlineStr">
        <is>
          <t>8% annually</t>
        </is>
      </c>
      <c r="F5" s="19" t="inlineStr">
        <is>
          <t>Usage baseline</t>
        </is>
      </c>
      <c r="G5" s="6" t="n"/>
      <c r="H5" s="11" t="inlineStr">
        <is>
          <t>Synthetic client assumption</t>
        </is>
      </c>
      <c r="I5" s="19" t="n"/>
      <c r="J5" s="19" t="n"/>
    </row>
    <row r="6" ht="36" customHeight="1" s="21">
      <c r="A6" s="19" t="inlineStr">
        <is>
          <t>V-003</t>
        </is>
      </c>
      <c r="B6" s="19" t="inlineStr">
        <is>
          <t>Concurrent agent peak</t>
        </is>
      </c>
      <c r="C6" s="19" t="n">
        <v>320</v>
      </c>
      <c r="D6" s="19" t="inlineStr">
        <is>
          <t>users</t>
        </is>
      </c>
      <c r="E6" s="19" t="inlineStr">
        <is>
          <t>Stable</t>
        </is>
      </c>
      <c r="F6" s="19" t="inlineStr">
        <is>
          <t>Capacity sizing</t>
        </is>
      </c>
      <c r="G6" s="6" t="n"/>
      <c r="H6" s="11" t="inlineStr">
        <is>
          <t>Synthetic client assumption</t>
        </is>
      </c>
      <c r="I6" s="19" t="n"/>
      <c r="J6" s="19" t="n"/>
    </row>
    <row r="7" ht="36" customHeight="1" s="21">
      <c r="A7" s="19" t="inlineStr">
        <is>
          <t>V-004</t>
        </is>
      </c>
      <c r="B7" s="19" t="inlineStr">
        <is>
          <t>Knowledge documents</t>
        </is>
      </c>
      <c r="C7" s="19" t="n">
        <v>12000</v>
      </c>
      <c r="D7" s="19" t="inlineStr">
        <is>
          <t>documents</t>
        </is>
      </c>
      <c r="E7" s="19" t="inlineStr">
        <is>
          <t>10% annually</t>
        </is>
      </c>
      <c r="F7" s="19" t="inlineStr">
        <is>
          <t>Ingestion sizing</t>
        </is>
      </c>
      <c r="G7" s="6" t="n"/>
      <c r="H7" s="11" t="inlineStr">
        <is>
          <t>Synthetic client assumption</t>
        </is>
      </c>
      <c r="I7" s="19" t="n"/>
      <c r="J7" s="19" t="n"/>
    </row>
    <row r="8" ht="36" customHeight="1" s="21">
      <c r="A8" s="19" t="inlineStr">
        <is>
          <t>V-005</t>
        </is>
      </c>
      <c r="B8" s="19" t="inlineStr">
        <is>
          <t>Initial channels</t>
        </is>
      </c>
      <c r="C8" s="19" t="n">
        <v>3</v>
      </c>
      <c r="D8" s="19" t="inlineStr">
        <is>
          <t>channels</t>
        </is>
      </c>
      <c r="E8" s="19" t="inlineStr">
        <is>
          <t>Voice, email, web chat</t>
        </is>
      </c>
      <c r="F8" s="19" t="inlineStr">
        <is>
          <t>Scope baseline</t>
        </is>
      </c>
      <c r="G8" s="6" t="n"/>
      <c r="H8" s="11" t="inlineStr">
        <is>
          <t>Synthetic client assumption</t>
        </is>
      </c>
      <c r="I8" s="19" t="n"/>
      <c r="J8" s="19" t="n"/>
    </row>
    <row r="9" ht="36" customHeight="1" s="21">
      <c r="A9" s="19" t="inlineStr">
        <is>
          <t>V-006</t>
        </is>
      </c>
      <c r="B9" s="19" t="inlineStr">
        <is>
          <t>Initial AI use cases</t>
        </is>
      </c>
      <c r="C9" s="19" t="n">
        <v>5</v>
      </c>
      <c r="D9" s="19" t="inlineStr">
        <is>
          <t>use cases</t>
        </is>
      </c>
      <c r="E9" s="19" t="inlineStr">
        <is>
          <t>2 additions annually</t>
        </is>
      </c>
      <c r="F9" s="19" t="inlineStr">
        <is>
          <t>Delivery baseline</t>
        </is>
      </c>
      <c r="G9" s="6" t="n"/>
      <c r="H9" s="11" t="inlineStr">
        <is>
          <t>Synthetic client assumption</t>
        </is>
      </c>
      <c r="I9" s="19" t="n"/>
      <c r="J9" s="19" t="n"/>
    </row>
    <row r="10" ht="36" customHeight="1" s="21">
      <c r="A10" s="19" t="inlineStr">
        <is>
          <t>V-007</t>
        </is>
      </c>
      <c r="B10" s="19" t="inlineStr">
        <is>
          <t>Production data retention</t>
        </is>
      </c>
      <c r="C10" s="19" t="n">
        <v>13</v>
      </c>
      <c r="D10" s="19" t="inlineStr">
        <is>
          <t>months</t>
        </is>
      </c>
      <c r="E10" s="19" t="inlineStr">
        <is>
          <t>Configurable</t>
        </is>
      </c>
      <c r="F10" s="19" t="inlineStr">
        <is>
          <t>Storage baseline</t>
        </is>
      </c>
      <c r="G10" s="6" t="n"/>
      <c r="H10" s="11" t="inlineStr">
        <is>
          <t>Synthetic client assumption</t>
        </is>
      </c>
      <c r="I10" s="19" t="n"/>
      <c r="J10" s="19" t="n"/>
    </row>
  </sheetData>
  <autoFilter ref="A3:J10"/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6" customWidth="1" style="21" min="2" max="2"/>
    <col width="40" customWidth="1" style="21" min="3" max="3"/>
    <col width="15" customWidth="1" style="21" min="4" max="5"/>
    <col width="22" customWidth="1" style="21" min="6" max="7"/>
    <col width="32" customWidth="1" style="21" min="8" max="8"/>
    <col width="34" customWidth="1" style="21" min="9" max="9"/>
    <col width="16" customWidth="1" style="21" min="10" max="10"/>
  </cols>
  <sheetData>
    <row r="1" ht="30" customHeight="1" s="21">
      <c r="A1" s="18" t="inlineStr">
        <is>
          <t>Implementation Plan</t>
        </is>
      </c>
    </row>
    <row r="2" ht="27.95" customHeight="1" s="21">
      <c r="A2" s="20" t="inlineStr">
        <is>
          <t>Propose dates, dependencies and acceptance evidence.</t>
        </is>
      </c>
    </row>
    <row r="3" ht="30" customHeight="1" s="21">
      <c r="A3" s="5" t="inlineStr">
        <is>
          <t>ID</t>
        </is>
      </c>
      <c r="B3" s="5" t="inlineStr">
        <is>
          <t>Phase</t>
        </is>
      </c>
      <c r="C3" s="5" t="inlineStr">
        <is>
          <t>Milestone / Deliverable</t>
        </is>
      </c>
      <c r="D3" s="5" t="inlineStr">
        <is>
          <t>Target Start</t>
        </is>
      </c>
      <c r="E3" s="5" t="inlineStr">
        <is>
          <t>Target Finish</t>
        </is>
      </c>
      <c r="F3" s="5" t="inlineStr">
        <is>
          <t>Supplier Owner</t>
        </is>
      </c>
      <c r="G3" s="5" t="inlineStr">
        <is>
          <t>Client Owner</t>
        </is>
      </c>
      <c r="H3" s="5" t="inlineStr">
        <is>
          <t>Dependencies</t>
        </is>
      </c>
      <c r="I3" s="5" t="inlineStr">
        <is>
          <t>Acceptance Evidence</t>
        </is>
      </c>
      <c r="J3" s="5" t="inlineStr">
        <is>
          <t>Status</t>
        </is>
      </c>
    </row>
    <row r="4" ht="36" customHeight="1" s="21">
      <c r="A4" s="19" t="inlineStr">
        <is>
          <t>M-001</t>
        </is>
      </c>
      <c r="B4" s="19" t="inlineStr">
        <is>
          <t>Mobilise</t>
        </is>
      </c>
      <c r="C4" s="19" t="inlineStr">
        <is>
          <t>Kick-off and governance established</t>
        </is>
      </c>
      <c r="D4" s="19" t="inlineStr">
        <is>
          <t>11 Jan 2027</t>
        </is>
      </c>
      <c r="E4" s="19" t="inlineStr">
        <is>
          <t>15 Jan 2027</t>
        </is>
      </c>
      <c r="F4" s="6" t="n"/>
      <c r="G4" s="6" t="n"/>
      <c r="H4" s="6" t="n"/>
      <c r="I4" s="6" t="n"/>
      <c r="J4" s="6" t="n"/>
    </row>
    <row r="5" ht="36" customHeight="1" s="21">
      <c r="A5" s="19" t="inlineStr">
        <is>
          <t>M-002</t>
        </is>
      </c>
      <c r="B5" s="19" t="inlineStr">
        <is>
          <t>Discover</t>
        </is>
      </c>
      <c r="C5" s="19" t="inlineStr">
        <is>
          <t>Validated requirements and baseline</t>
        </is>
      </c>
      <c r="D5" s="19" t="inlineStr">
        <is>
          <t>18 Jan 2027</t>
        </is>
      </c>
      <c r="E5" s="19" t="inlineStr">
        <is>
          <t>5 Feb 2027</t>
        </is>
      </c>
      <c r="F5" s="6" t="n"/>
      <c r="G5" s="6" t="n"/>
      <c r="H5" s="6" t="n"/>
      <c r="I5" s="6" t="n"/>
      <c r="J5" s="6" t="n"/>
    </row>
    <row r="6" ht="36" customHeight="1" s="21">
      <c r="A6" s="19" t="inlineStr">
        <is>
          <t>M-003</t>
        </is>
      </c>
      <c r="B6" s="19" t="inlineStr">
        <is>
          <t>Design</t>
        </is>
      </c>
      <c r="C6" s="19" t="inlineStr">
        <is>
          <t>Target architecture and journeys approved</t>
        </is>
      </c>
      <c r="D6" s="19" t="inlineStr">
        <is>
          <t>8 Feb 2027</t>
        </is>
      </c>
      <c r="E6" s="19" t="inlineStr">
        <is>
          <t>5 Mar 2027</t>
        </is>
      </c>
      <c r="F6" s="6" t="n"/>
      <c r="G6" s="6" t="n"/>
      <c r="H6" s="6" t="n"/>
      <c r="I6" s="6" t="n"/>
      <c r="J6" s="6" t="n"/>
    </row>
    <row r="7" ht="36" customHeight="1" s="21">
      <c r="A7" s="19" t="inlineStr">
        <is>
          <t>M-004</t>
        </is>
      </c>
      <c r="B7" s="19" t="inlineStr">
        <is>
          <t>Prototype</t>
        </is>
      </c>
      <c r="C7" s="19" t="inlineStr">
        <is>
          <t>Prototype and evaluation set complete</t>
        </is>
      </c>
      <c r="D7" s="19" t="inlineStr">
        <is>
          <t>8 Mar 2027</t>
        </is>
      </c>
      <c r="E7" s="19" t="inlineStr">
        <is>
          <t>2 Apr 2027</t>
        </is>
      </c>
      <c r="F7" s="6" t="n"/>
      <c r="G7" s="6" t="n"/>
      <c r="H7" s="6" t="n"/>
      <c r="I7" s="6" t="n"/>
      <c r="J7" s="6" t="n"/>
    </row>
    <row r="8" ht="36" customHeight="1" s="21">
      <c r="A8" s="19" t="inlineStr">
        <is>
          <t>M-005</t>
        </is>
      </c>
      <c r="B8" s="19" t="inlineStr">
        <is>
          <t>Pilot</t>
        </is>
      </c>
      <c r="C8" s="19" t="inlineStr">
        <is>
          <t>Pilot released to controlled user group</t>
        </is>
      </c>
      <c r="D8" s="19" t="inlineStr">
        <is>
          <t>5 Apr 2027</t>
        </is>
      </c>
      <c r="E8" s="19" t="inlineStr">
        <is>
          <t>28 May 2027</t>
        </is>
      </c>
      <c r="F8" s="6" t="n"/>
      <c r="G8" s="6" t="n"/>
      <c r="H8" s="6" t="n"/>
      <c r="I8" s="6" t="n"/>
      <c r="J8" s="6" t="n"/>
    </row>
    <row r="9" ht="36" customHeight="1" s="21">
      <c r="A9" s="19" t="inlineStr">
        <is>
          <t>M-006</t>
        </is>
      </c>
      <c r="B9" s="19" t="inlineStr">
        <is>
          <t>Pilot</t>
        </is>
      </c>
      <c r="C9" s="19" t="inlineStr">
        <is>
          <t>Pilot acceptance decision</t>
        </is>
      </c>
      <c r="D9" s="19" t="inlineStr">
        <is>
          <t>31 May 2027</t>
        </is>
      </c>
      <c r="E9" s="19" t="inlineStr">
        <is>
          <t>11 Jun 2027</t>
        </is>
      </c>
      <c r="F9" s="6" t="n"/>
      <c r="G9" s="6" t="n"/>
      <c r="H9" s="6" t="n"/>
      <c r="I9" s="6" t="n"/>
      <c r="J9" s="6" t="n"/>
    </row>
    <row r="10" ht="36" customHeight="1" s="21">
      <c r="A10" s="19" t="inlineStr">
        <is>
          <t>M-007</t>
        </is>
      </c>
      <c r="B10" s="19" t="inlineStr">
        <is>
          <t>Scale</t>
        </is>
      </c>
      <c r="C10" s="19" t="inlineStr">
        <is>
          <t>Wave 1 production rollout</t>
        </is>
      </c>
      <c r="D10" s="19" t="inlineStr">
        <is>
          <t>14 Jun 2027</t>
        </is>
      </c>
      <c r="E10" s="19" t="inlineStr">
        <is>
          <t>20 Aug 2027</t>
        </is>
      </c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M-008</t>
        </is>
      </c>
      <c r="B11" s="19" t="inlineStr">
        <is>
          <t>Transition</t>
        </is>
      </c>
      <c r="C11" s="19" t="inlineStr">
        <is>
          <t>Service acceptance and handover</t>
        </is>
      </c>
      <c r="D11" s="19" t="inlineStr">
        <is>
          <t>23 Aug 2027</t>
        </is>
      </c>
      <c r="E11" s="19" t="inlineStr">
        <is>
          <t>10 Sep 2027</t>
        </is>
      </c>
      <c r="F11" s="6" t="n"/>
      <c r="G11" s="6" t="n"/>
      <c r="H11" s="6" t="n"/>
      <c r="I11" s="6" t="n"/>
      <c r="J11" s="6" t="n"/>
    </row>
  </sheetData>
  <autoFilter ref="A3:J11"/>
  <mergeCells count="2">
    <mergeCell ref="A1:J1"/>
    <mergeCell ref="A2:J2"/>
  </mergeCells>
  <dataValidations count="1">
    <dataValidation sqref="J4:J11" showDropDown="0" showInputMessage="0" showErrorMessage="0" allowBlank="0" type="list">
      <formula1>"Proposed,Confirmed,At Risk,Complete"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5" customWidth="1" style="21" min="2" max="2"/>
    <col width="52" customWidth="1" style="21" min="3" max="3"/>
    <col width="14" customWidth="1" style="21" min="4" max="4"/>
    <col width="12" customWidth="1" style="21" min="5" max="5"/>
    <col width="18" customWidth="1" style="21" min="6" max="6"/>
    <col width="17" customWidth="1" style="21" min="7" max="7"/>
    <col width="42" customWidth="1" style="21" min="8" max="8"/>
    <col width="20" customWidth="1" style="21" min="9" max="9"/>
    <col width="16" customWidth="1" style="21" min="10" max="10"/>
  </cols>
  <sheetData>
    <row r="1" ht="30" customHeight="1" s="21">
      <c r="A1" s="18" t="inlineStr">
        <is>
          <t>Risks &amp; Assumptions</t>
        </is>
      </c>
    </row>
    <row r="2" ht="27.95" customHeight="1" s="21">
      <c r="A2" s="20" t="inlineStr">
        <is>
          <t>Record material bid assumptions and risks, not generic boilerplate.</t>
        </is>
      </c>
    </row>
    <row r="3" ht="30" customHeight="1" s="21">
      <c r="A3" s="5" t="inlineStr">
        <is>
          <t>ID</t>
        </is>
      </c>
      <c r="B3" s="5" t="inlineStr">
        <is>
          <t>Type</t>
        </is>
      </c>
      <c r="C3" s="5" t="inlineStr">
        <is>
          <t>Statement</t>
        </is>
      </c>
      <c r="D3" s="5" t="inlineStr">
        <is>
          <t>Probability</t>
        </is>
      </c>
      <c r="E3" s="5" t="inlineStr">
        <is>
          <t>Impact</t>
        </is>
      </c>
      <c r="F3" s="5" t="inlineStr">
        <is>
          <t>Schedule Impact</t>
        </is>
      </c>
      <c r="G3" s="5" t="inlineStr">
        <is>
          <t>Cost Impact (£)</t>
        </is>
      </c>
      <c r="H3" s="5" t="inlineStr">
        <is>
          <t>Mitigation / Validation</t>
        </is>
      </c>
      <c r="I3" s="5" t="inlineStr">
        <is>
          <t>Owner</t>
        </is>
      </c>
      <c r="J3" s="5" t="inlineStr">
        <is>
          <t>Status</t>
        </is>
      </c>
    </row>
    <row r="4" ht="36" customHeight="1" s="21">
      <c r="A4" s="19" t="inlineStr">
        <is>
          <t>RA-001</t>
        </is>
      </c>
      <c r="B4" s="19" t="inlineStr">
        <is>
          <t>Risk</t>
        </is>
      </c>
      <c r="C4" s="12" t="inlineStr">
        <is>
          <t>Knowledge content may lack clear ownership and review dates.</t>
        </is>
      </c>
      <c r="D4" s="12" t="inlineStr">
        <is>
          <t>Medium</t>
        </is>
      </c>
      <c r="E4" s="12" t="inlineStr">
        <is>
          <t>High</t>
        </is>
      </c>
      <c r="F4" s="12" t="n"/>
      <c r="G4" s="13" t="n"/>
      <c r="H4" s="12" t="inlineStr">
        <is>
          <t>Run content readiness assessment and agree accountable owners.</t>
        </is>
      </c>
      <c r="I4" s="12" t="n"/>
      <c r="J4" s="19" t="inlineStr">
        <is>
          <t>Open</t>
        </is>
      </c>
    </row>
    <row r="5" ht="36" customHeight="1" s="21">
      <c r="A5" s="19" t="inlineStr">
        <is>
          <t>RA-002</t>
        </is>
      </c>
      <c r="B5" s="19" t="inlineStr">
        <is>
          <t>Risk</t>
        </is>
      </c>
      <c r="C5" s="12" t="inlineStr">
        <is>
          <t>Integration sandbox access may not be available at mobilisation.</t>
        </is>
      </c>
      <c r="D5" s="12" t="inlineStr">
        <is>
          <t>Medium</t>
        </is>
      </c>
      <c r="E5" s="12" t="inlineStr">
        <is>
          <t>Medium</t>
        </is>
      </c>
      <c r="F5" s="12" t="n"/>
      <c r="G5" s="13" t="n"/>
      <c r="H5" s="12" t="inlineStr">
        <is>
          <t>Confirm access plan before contract signature.</t>
        </is>
      </c>
      <c r="I5" s="12" t="n"/>
      <c r="J5" s="19" t="inlineStr">
        <is>
          <t>Open</t>
        </is>
      </c>
    </row>
    <row r="6" ht="36" customHeight="1" s="21">
      <c r="A6" s="19" t="inlineStr">
        <is>
          <t>RA-003</t>
        </is>
      </c>
      <c r="B6" s="19" t="inlineStr">
        <is>
          <t>Assumption</t>
        </is>
      </c>
      <c r="C6" s="12" t="inlineStr">
        <is>
          <t>Northstar will provide five subject-matter experts for discovery.</t>
        </is>
      </c>
      <c r="D6" s="12" t="inlineStr">
        <is>
          <t>N/A</t>
        </is>
      </c>
      <c r="E6" s="12" t="inlineStr">
        <is>
          <t>High</t>
        </is>
      </c>
      <c r="F6" s="12" t="n"/>
      <c r="G6" s="13" t="n"/>
      <c r="H6" s="12" t="inlineStr">
        <is>
          <t>Validate named availability during mobilisation.</t>
        </is>
      </c>
      <c r="I6" s="12" t="n"/>
      <c r="J6" s="19" t="inlineStr">
        <is>
          <t>Open</t>
        </is>
      </c>
    </row>
    <row r="7" ht="36" customHeight="1" s="21">
      <c r="A7" s="19" t="inlineStr">
        <is>
          <t>RA-004</t>
        </is>
      </c>
      <c r="B7" s="19" t="inlineStr">
        <is>
          <t>Assumption</t>
        </is>
      </c>
      <c r="C7" s="12" t="inlineStr">
        <is>
          <t>Existing API entitlements cover pilot integration volumes.</t>
        </is>
      </c>
      <c r="D7" s="12" t="inlineStr">
        <is>
          <t>N/A</t>
        </is>
      </c>
      <c r="E7" s="12" t="inlineStr">
        <is>
          <t>Medium</t>
        </is>
      </c>
      <c r="F7" s="12" t="n"/>
      <c r="G7" s="13" t="n"/>
      <c r="H7" s="12" t="inlineStr">
        <is>
          <t>Validate licences and rate limits during discovery.</t>
        </is>
      </c>
      <c r="I7" s="12" t="n"/>
      <c r="J7" s="19" t="inlineStr">
        <is>
          <t>Open</t>
        </is>
      </c>
    </row>
    <row r="8" ht="36" customHeight="1" s="21">
      <c r="A8" s="19" t="inlineStr">
        <is>
          <t>RA-005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6" customHeight="1" s="21">
      <c r="A9" s="19" t="inlineStr">
        <is>
          <t>RA-006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 s="21">
      <c r="A10" s="19" t="inlineStr">
        <is>
          <t>RA-007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RA-008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 s="21">
      <c r="A12" s="19" t="inlineStr">
        <is>
          <t>RA-009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6" customHeight="1" s="21">
      <c r="A13" s="19" t="inlineStr">
        <is>
          <t>RA-010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 s="21">
      <c r="A14" s="19" t="inlineStr">
        <is>
          <t>RA-011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6" customHeight="1" s="21">
      <c r="A15" s="19" t="inlineStr">
        <is>
          <t>RA-012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 s="21">
      <c r="A16" s="19" t="inlineStr">
        <is>
          <t>RA-013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6" customHeight="1" s="21">
      <c r="A17" s="19" t="inlineStr">
        <is>
          <t>RA-014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</sheetData>
  <autoFilter ref="A3:J17"/>
  <mergeCells count="2">
    <mergeCell ref="A1:J1"/>
    <mergeCell ref="A2:J2"/>
  </mergeCells>
  <dataValidations count="1">
    <dataValidation sqref="B4:B17" showDropDown="0" showInputMessage="0" showErrorMessage="0" allowBlank="0" type="list">
      <formula1>"Risk,Assumption,Dependency,Constraint"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20" customWidth="1" style="21" min="2" max="3"/>
    <col width="55" customWidth="1" style="21" min="4" max="4"/>
    <col width="15" customWidth="1" style="21" min="5" max="5"/>
    <col width="55" customWidth="1" style="21" min="6" max="6"/>
    <col width="15" customWidth="1" style="21" min="7" max="7"/>
    <col width="30" customWidth="1" style="21" min="8" max="8"/>
    <col width="14" customWidth="1" style="21" min="9" max="9"/>
    <col width="20" customWidth="1" style="21" min="10" max="10"/>
  </cols>
  <sheetData>
    <row r="1" ht="30" customHeight="1" s="21">
      <c r="A1" s="18" t="inlineStr">
        <is>
          <t>Clarifications Log</t>
        </is>
      </c>
    </row>
    <row r="2" ht="27.95" customHeight="1" s="21">
      <c r="A2" s="20" t="inlineStr">
        <is>
          <t>Enter one question per row. Client responses shown are fictional demo examples.</t>
        </is>
      </c>
    </row>
    <row r="3" ht="30" customHeight="1" s="21">
      <c r="A3" s="5" t="inlineStr">
        <is>
          <t>ID</t>
        </is>
      </c>
      <c r="B3" s="5" t="inlineStr">
        <is>
          <t>Supplier</t>
        </is>
      </c>
      <c r="C3" s="5" t="inlineStr">
        <is>
          <t>RFP Reference</t>
        </is>
      </c>
      <c r="D3" s="5" t="inlineStr">
        <is>
          <t>Question</t>
        </is>
      </c>
      <c r="E3" s="5" t="inlineStr">
        <is>
          <t>Date Raised</t>
        </is>
      </c>
      <c r="F3" s="5" t="inlineStr">
        <is>
          <t>Client Response</t>
        </is>
      </c>
      <c r="G3" s="5" t="inlineStr">
        <is>
          <t>Response Date</t>
        </is>
      </c>
      <c r="H3" s="5" t="inlineStr">
        <is>
          <t>Impact on Bid</t>
        </is>
      </c>
      <c r="I3" s="5" t="inlineStr">
        <is>
          <t>Status</t>
        </is>
      </c>
      <c r="J3" s="5" t="inlineStr">
        <is>
          <t>Owner</t>
        </is>
      </c>
    </row>
    <row r="4" ht="36" customHeight="1" s="21">
      <c r="A4" s="19" t="inlineStr">
        <is>
          <t>Q-001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6" customHeight="1" s="21">
      <c r="A5" s="19" t="inlineStr">
        <is>
          <t>Q-002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6" customHeight="1" s="21">
      <c r="A6" s="19" t="inlineStr">
        <is>
          <t>Q-003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36" customHeight="1" s="21">
      <c r="A7" s="19" t="inlineStr">
        <is>
          <t>Q-004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36" customHeight="1" s="21">
      <c r="A8" s="19" t="inlineStr">
        <is>
          <t>Q-005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6" customHeight="1" s="21">
      <c r="A9" s="19" t="inlineStr">
        <is>
          <t>Q-006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 s="21">
      <c r="A10" s="19" t="inlineStr">
        <is>
          <t>Q-007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Q-008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 s="21">
      <c r="A12" s="19" t="inlineStr">
        <is>
          <t>Q-009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6" customHeight="1" s="21">
      <c r="A13" s="19" t="inlineStr">
        <is>
          <t>Q-010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 s="21">
      <c r="A14" s="19" t="inlineStr">
        <is>
          <t>Q-011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6" customHeight="1" s="21">
      <c r="A15" s="19" t="inlineStr">
        <is>
          <t>Q-012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 s="21">
      <c r="A16" s="19" t="inlineStr">
        <is>
          <t>Q-013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6" customHeight="1" s="21">
      <c r="A17" s="19" t="inlineStr">
        <is>
          <t>Q-014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 s="21">
      <c r="A18" s="19" t="inlineStr">
        <is>
          <t>Q-015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</sheetData>
  <autoFilter ref="A3:J18"/>
  <mergeCells count="2">
    <mergeCell ref="A1:J1"/>
    <mergeCell ref="A2:J2"/>
  </mergeCells>
  <dataValidations count="1">
    <dataValidation sqref="I4:I18" showDropDown="0" showInputMessage="0" showErrorMessage="0" allowBlank="0" type="list">
      <formula1>"Draft,Submitted,Answered,Closed"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42" customWidth="1" style="21" min="2" max="2"/>
    <col width="12" customWidth="1" style="21" min="3" max="3"/>
    <col width="16" customWidth="1" style="21" min="4" max="4"/>
    <col width="22" customWidth="1" style="21" min="5" max="5"/>
    <col width="18" customWidth="1" style="21" min="6" max="6"/>
    <col width="45" customWidth="1" style="21" min="7" max="7"/>
    <col width="28" customWidth="1" style="21" min="8" max="8"/>
    <col width="18" customWidth="1" style="21" min="9" max="9"/>
    <col width="20" customWidth="1" style="21" min="10" max="10"/>
  </cols>
  <sheetData>
    <row r="1" ht="30" customHeight="1" s="21">
      <c r="A1" s="18" t="inlineStr">
        <is>
          <t>Illustrative Evaluation Model</t>
        </is>
      </c>
    </row>
    <row r="2" ht="27.95" customHeight="1" s="21">
      <c r="A2" s="20" t="inlineStr">
        <is>
          <t>Internal demo scoring sheet. Score each criterion from 0 to 5; weighted score calculates automatically.</t>
        </is>
      </c>
    </row>
    <row r="3" ht="30" customHeight="1" s="21">
      <c r="A3" s="5" t="inlineStr">
        <is>
          <t>Criterion ID</t>
        </is>
      </c>
      <c r="B3" s="5" t="inlineStr">
        <is>
          <t>Criterion</t>
        </is>
      </c>
      <c r="C3" s="5" t="inlineStr">
        <is>
          <t>Weight</t>
        </is>
      </c>
      <c r="D3" s="5" t="inlineStr">
        <is>
          <t>Minimum Score</t>
        </is>
      </c>
      <c r="E3" s="5" t="inlineStr">
        <is>
          <t>Supplier Score (0-5)</t>
        </is>
      </c>
      <c r="F3" s="5" t="inlineStr">
        <is>
          <t>Weighted Score</t>
        </is>
      </c>
      <c r="G3" s="5" t="inlineStr">
        <is>
          <t>Evaluator Rationale</t>
        </is>
      </c>
      <c r="H3" s="5" t="inlineStr">
        <is>
          <t>Evidence Reference</t>
        </is>
      </c>
      <c r="I3" s="5" t="inlineStr">
        <is>
          <t>Moderated Score</t>
        </is>
      </c>
      <c r="J3" s="5" t="inlineStr">
        <is>
          <t>Final Weighted Score</t>
        </is>
      </c>
    </row>
    <row r="4" ht="36" customHeight="1" s="21">
      <c r="A4" s="19" t="inlineStr">
        <is>
          <t>E-001</t>
        </is>
      </c>
      <c r="B4" s="19" t="inlineStr">
        <is>
          <t>Functional and technical fit</t>
        </is>
      </c>
      <c r="C4" s="14" t="n">
        <v>0.3</v>
      </c>
      <c r="D4" s="19" t="n">
        <v>3</v>
      </c>
      <c r="E4" s="6" t="n"/>
      <c r="F4" s="14">
        <f>C4*E4/5</f>
        <v/>
      </c>
      <c r="G4" s="12" t="n"/>
      <c r="H4" s="12" t="n"/>
      <c r="I4" s="12" t="n"/>
      <c r="J4" s="14">
        <f>C4*I4/5</f>
        <v/>
      </c>
    </row>
    <row r="5" ht="36" customHeight="1" s="21">
      <c r="A5" s="19" t="inlineStr">
        <is>
          <t>E-002</t>
        </is>
      </c>
      <c r="B5" s="19" t="inlineStr">
        <is>
          <t>Delivery approach and team</t>
        </is>
      </c>
      <c r="C5" s="14" t="n">
        <v>0.2</v>
      </c>
      <c r="D5" s="19" t="n">
        <v>2</v>
      </c>
      <c r="E5" s="6" t="n"/>
      <c r="F5" s="14">
        <f>C5*E5/5</f>
        <v/>
      </c>
      <c r="G5" s="12" t="n"/>
      <c r="H5" s="12" t="n"/>
      <c r="I5" s="12" t="n"/>
      <c r="J5" s="14">
        <f>C5*I5/5</f>
        <v/>
      </c>
    </row>
    <row r="6" ht="36" customHeight="1" s="21">
      <c r="A6" s="19" t="inlineStr">
        <is>
          <t>E-003</t>
        </is>
      </c>
      <c r="B6" s="19" t="inlineStr">
        <is>
          <t>Responsible AI, security and data protection</t>
        </is>
      </c>
      <c r="C6" s="14" t="n">
        <v>0.2</v>
      </c>
      <c r="D6" s="19" t="n">
        <v>3</v>
      </c>
      <c r="E6" s="6" t="n"/>
      <c r="F6" s="14">
        <f>C6*E6/5</f>
        <v/>
      </c>
      <c r="G6" s="12" t="n"/>
      <c r="H6" s="12" t="n"/>
      <c r="I6" s="12" t="n"/>
      <c r="J6" s="14">
        <f>C6*I6/5</f>
        <v/>
      </c>
    </row>
    <row r="7" ht="36" customHeight="1" s="21">
      <c r="A7" s="19" t="inlineStr">
        <is>
          <t>E-004</t>
        </is>
      </c>
      <c r="B7" s="19" t="inlineStr">
        <is>
          <t>Commercial value</t>
        </is>
      </c>
      <c r="C7" s="14" t="n">
        <v>0.2</v>
      </c>
      <c r="D7" s="19" t="n">
        <v>2</v>
      </c>
      <c r="E7" s="6" t="n"/>
      <c r="F7" s="14">
        <f>C7*E7/5</f>
        <v/>
      </c>
      <c r="G7" s="12" t="n"/>
      <c r="H7" s="12" t="n"/>
      <c r="I7" s="12" t="n"/>
      <c r="J7" s="14">
        <f>C7*I7/5</f>
        <v/>
      </c>
    </row>
    <row r="8" ht="36" customHeight="1" s="21">
      <c r="A8" s="19" t="inlineStr">
        <is>
          <t>E-005</t>
        </is>
      </c>
      <c r="B8" s="19" t="inlineStr">
        <is>
          <t>Relevant experience and demonstration</t>
        </is>
      </c>
      <c r="C8" s="14" t="n">
        <v>0.1</v>
      </c>
      <c r="D8" s="19" t="n">
        <v>2</v>
      </c>
      <c r="E8" s="6" t="n"/>
      <c r="F8" s="14">
        <f>C8*E8/5</f>
        <v/>
      </c>
      <c r="G8" s="12" t="n"/>
      <c r="H8" s="12" t="n"/>
      <c r="I8" s="12" t="n"/>
      <c r="J8" s="14">
        <f>C8*I8/5</f>
        <v/>
      </c>
    </row>
    <row r="9" ht="36" customHeight="1" s="21">
      <c r="A9" s="19" t="n"/>
      <c r="B9" s="9" t="inlineStr">
        <is>
          <t>TOTAL</t>
        </is>
      </c>
      <c r="C9" s="15">
        <f>SUM(C4:C8)</f>
        <v/>
      </c>
      <c r="D9" s="9" t="n"/>
      <c r="E9" s="9" t="n"/>
      <c r="F9" s="15">
        <f>SUM(F4:F8)</f>
        <v/>
      </c>
      <c r="G9" s="9" t="n"/>
      <c r="H9" s="9" t="n"/>
      <c r="I9" s="9" t="n"/>
      <c r="J9" s="15">
        <f>SUM(J4:J8)</f>
        <v/>
      </c>
    </row>
  </sheetData>
  <autoFilter ref="A3:J8"/>
  <mergeCells count="2">
    <mergeCell ref="A1:J1"/>
    <mergeCell ref="A2:J2"/>
  </mergeCells>
  <conditionalFormatting sqref="E4:E8">
    <cfRule type="expression" priority="1" dxfId="0">
      <formula>E4&lt;D4</formula>
    </cfRule>
  </conditionalFormatting>
  <dataValidations count="1">
    <dataValidation sqref="E4:E8 I4:I8" showDropDown="0" showInputMessage="0" showErrorMessage="0" allowBlank="0" type="decimal">
      <formula1>0</formula1>
      <formula2>5</formula2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Fawad, Sultan</dc:creator>
  <dcterms:created xmlns:dcterms="http://purl.org/dc/terms/" xmlns:xsi="http://www.w3.org/2001/XMLSchema-instance" xsi:type="dcterms:W3CDTF">2026-10-23T22:30:31Z</dcterms:created>
  <dcterms:modified xmlns:dcterms="http://purl.org/dc/terms/" xmlns:xsi="http://www.w3.org/2001/XMLSchema-instance" xsi:type="dcterms:W3CDTF">2026-10-24T00:22:49Z</dcterms:modified>
</cp:coreProperties>
</file>